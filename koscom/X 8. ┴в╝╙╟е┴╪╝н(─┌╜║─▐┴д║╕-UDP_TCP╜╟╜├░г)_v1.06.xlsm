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06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MyWork\00_변경업무\20230125_KRX차세대 정보분배\"/>
    </mc:Choice>
  </mc:AlternateContent>
  <xr:revisionPtr revIDLastSave="0" documentId="11_802E9619B8C9B5ECD524577177B1FFAF64574562" xr6:coauthVersionLast="47" xr6:coauthVersionMax="47" xr10:uidLastSave="{00000000-0000-0000-0000-000000000000}"/>
  <bookViews>
    <workbookView xWindow="0" yWindow="0" windowWidth="22560" windowHeight="9510" xr2:uid="{00000000-000D-0000-FFFF-FFFF00000000}"/>
  </bookViews>
  <sheets>
    <sheet name="표지" sheetId="1" r:id="rId1"/>
    <sheet name="변경이력" sheetId="2" r:id="rId2"/>
    <sheet name="인터페이스목록" sheetId="3" r:id="rId3"/>
    <sheet name="인터페이스정의서" sheetId="4" r:id="rId4"/>
    <sheet name="시세상품별 UDP회선별 송신채널정보" sheetId="5" r:id="rId5"/>
    <sheet name="인터넷(TCP) 시세상품별 송신채널정보" sheetId="6" r:id="rId6"/>
    <sheet name="별첨-정보,시장구분코드" sheetId="7" r:id="rId7"/>
  </sheets>
  <externalReferences>
    <externalReference r:id="rId8"/>
  </externalReferences>
  <definedNames>
    <definedName name="_C1077">인터페이스정의서!$A$685</definedName>
    <definedName name="_C702S">인터페이스정의서!$A$422</definedName>
    <definedName name="_xlnm._FilterDatabase" localSheetId="4" hidden="1">'시세상품별 UDP회선별 송신채널정보'!$A$2:$N$25</definedName>
    <definedName name="_xlnm._FilterDatabase" localSheetId="5" hidden="1">'인터넷(TCP) 시세상품별 송신채널정보'!$A$2:$R$36</definedName>
    <definedName name="_xlnm._FilterDatabase" localSheetId="2" hidden="1">인터페이스목록!$A$4:$AD$86</definedName>
    <definedName name="_xlnm._FilterDatabase" localSheetId="3" hidden="1">인터페이스정의서!$A$2:$L$24</definedName>
    <definedName name="A0013_">인터페이스정의서!$A$449</definedName>
    <definedName name="A2013_">인터페이스정의서!$A$543</definedName>
    <definedName name="A3013_">인터페이스정의서!$A$567</definedName>
    <definedName name="A6013_">인터페이스정의서!$A$594</definedName>
    <definedName name="A7013_">인터페이스정의서!$A$602</definedName>
    <definedName name="BV03S">인터페이스정의서!$A$99</definedName>
    <definedName name="BW03S">인터페이스정의서!$A$107</definedName>
    <definedName name="CC000">인터페이스정의서!$A$936</definedName>
    <definedName name="E2000_">인터페이스정의서!$A$254</definedName>
    <definedName name="E9013_">인터페이스정의서!$A$624</definedName>
    <definedName name="ETF_PDF_DESC" comment="ETF_PDF_개발가이드">#REF!</definedName>
    <definedName name="F101S">인터페이스정의서!$A$6</definedName>
    <definedName name="F201S">인터페이스정의서!$A$18</definedName>
    <definedName name="F301S">인터페이스정의서!$A$25</definedName>
    <definedName name="F401S">인터페이스정의서!$A$35</definedName>
    <definedName name="F501S">인터페이스정의서!$A$45</definedName>
    <definedName name="F601S">인터페이스정의서!$A$54</definedName>
    <definedName name="F803S">인터페이스정의서!$A$115</definedName>
    <definedName name="G5013_">인터페이스정의서!$A$610</definedName>
    <definedName name="H8000_">인터페이스정의서!$A$896</definedName>
    <definedName name="H8000_D">인터페이스정의서!$A$896</definedName>
    <definedName name="H8000_E">인터페이스정의서!$A$921</definedName>
    <definedName name="H8000_L">인터페이스정의서!$A$908</definedName>
    <definedName name="J5077_">인터페이스정의서!$A$635</definedName>
    <definedName name="J6077_">인터페이스정의서!$A$666</definedName>
    <definedName name="J7077_">인터페이스정의서!$A$699</definedName>
    <definedName name="J8077_HO0">인터페이스정의서!$A$768</definedName>
    <definedName name="J8077_NH0">인터페이스정의서!$A$713</definedName>
    <definedName name="J8077_SI0">인터페이스정의서!$A$731</definedName>
    <definedName name="K0000_">인터페이스정의서!$A$290</definedName>
    <definedName name="K6000_">인터페이스정의서!$A$308</definedName>
    <definedName name="K7077_">인터페이스정의서!$A$362</definedName>
    <definedName name="L503S">인터페이스정의서!$A$214</definedName>
    <definedName name="L6000_">인터페이스정의서!$A$326</definedName>
    <definedName name="L7077_">인터페이스정의서!$A$375</definedName>
    <definedName name="L9077_">인터페이스정의서!$A$232</definedName>
    <definedName name="M3000_">인터페이스정의서!$A$401</definedName>
    <definedName name="M803S">인터페이스정의서!$A$68</definedName>
    <definedName name="N302S">인터페이스정의서!$A$441</definedName>
    <definedName name="N803S">인터페이스정의서!$A$78</definedName>
    <definedName name="O5000_">인터페이스정의서!$A$410</definedName>
    <definedName name="P3000_">인터페이스정의서!$A$278</definedName>
    <definedName name="P603S">인터페이스정의서!$A$131</definedName>
    <definedName name="P703S">인터페이스정의서!$A$222</definedName>
    <definedName name="PEG가격유형코드">[1]항목별참고값!$AD$2:$AD$5</definedName>
    <definedName name="_xlnm.Print_Area" localSheetId="2">인터페이스목록!$B$1:$AD$86</definedName>
    <definedName name="_xlnm.Print_Area" localSheetId="3">인터페이스정의서!$A$1:$I$1</definedName>
    <definedName name="_xlnm.Print_Area" localSheetId="0">표지!$A$1:$M$39</definedName>
    <definedName name="_xlnm.Print_Titles" localSheetId="1">변경이력!$1:$8</definedName>
    <definedName name="_xlnm.Print_Titles" localSheetId="3">인터페이스정의서!#REF!</definedName>
    <definedName name="Q403S">인터페이스정의서!$A$141</definedName>
    <definedName name="Q503S">인터페이스정의서!$A$157</definedName>
    <definedName name="Q6000_">인터페이스정의서!$A$344</definedName>
    <definedName name="Q7077_">인터페이스정의서!$A$388</definedName>
    <definedName name="REPO분류코드">[1]항목별참고값!$AQ$2:$AQ$5</definedName>
    <definedName name="Repo호가">[1]항목별참고값!$A$7</definedName>
    <definedName name="S104S">인터페이스정의서!$A$169</definedName>
    <definedName name="S204S">인터페이스정의서!$A$185</definedName>
    <definedName name="S304S">인터페이스정의서!$A$206</definedName>
    <definedName name="X404S">인터페이스정의서!$A$197</definedName>
    <definedName name="거래정지발생유형코드">[1]항목별참고값!$P$2:$P$9</definedName>
    <definedName name="계좌구분코드">[1]항목별참고값!$Y$2:$Y$20</definedName>
    <definedName name="계좌증거금유형코드">[1]항목별참고값!$AL$2:$AL$8</definedName>
    <definedName name="국가코드">[1]항목별참고값!$AM$2:$AM$5</definedName>
    <definedName name="매도매수구분코드">[1]항목별참고값!$T$2:$T$5</definedName>
    <definedName name="매도유형코드">[1]항목별참고값!$AI$2:$AI$6</definedName>
    <definedName name="보드ID">[1]항목별참고값!$D$2:$D$24</definedName>
    <definedName name="보드이벤트ID">[1]항목별참고값!$F$2:$F$69</definedName>
    <definedName name="보드이벤트장운영종류코드">[1]항목별참고값!$K$2:$K$6</definedName>
    <definedName name="보드이벤트적용군관계코드">[1]항목별참고값!$I$2:$I$4</definedName>
    <definedName name="보드이벤트종류코드">[1]항목별참고값!$J$2:$J$24</definedName>
    <definedName name="복합호가">[1]항목별참고값!$A$4</definedName>
    <definedName name="상품ID">[1]항목별참고값!$O$2:$O$100</definedName>
    <definedName name="세션ID">[1]항목별참고값!$N$2:$N$19</definedName>
    <definedName name="세션개시종료코드">[1]항목별참고값!$M$2:$M$8</definedName>
    <definedName name="수신IF유형코드">[1]항목별참고값!$S$2:$S$4</definedName>
    <definedName name="시가종가산출코드">[1]항목별참고값!$L$2:$L$4</definedName>
    <definedName name="시장ID">[1]항목별참고값!$C$2:$C$9</definedName>
    <definedName name="여부">[1]항목별참고값!$AE$2:$AE$4</definedName>
    <definedName name="외국인투자자구분코드">[1]항목별참고값!$AN$2:$AN$9</definedName>
    <definedName name="위탁자기구분코드">[1]항목별참고값!$X$2:$X$9</definedName>
    <definedName name="입력데이터종류">[1]항목별참고값!$A$2:$A$7</definedName>
    <definedName name="자동취소처리구분코드">[1]항목별참고값!$R$2:$R$5</definedName>
    <definedName name="장운영">[1]항목별참고값!$A$2</definedName>
    <definedName name="장운영상품그룹ID">[1]항목별참고값!$E$2:$E$24</definedName>
    <definedName name="정정취소구분코드">[1]항목별참고값!$U$2:$U$5</definedName>
    <definedName name="주문매체구분코드">[1]항목별참고값!$AB$2:$AB$8</definedName>
    <definedName name="채권일반호가">[1]항목별참고값!$A$5</definedName>
    <definedName name="채권조성호가">[1]항목별참고값!$A$6</definedName>
    <definedName name="채권호가종류코드">[1]항목별참고값!$AC$2:$AC$4</definedName>
    <definedName name="테이블목록범위" localSheetId="6">#REF!</definedName>
    <definedName name="테이블목록범위" localSheetId="4">#REF!</definedName>
    <definedName name="테이블목록범위" localSheetId="5">#REF!</definedName>
    <definedName name="테이블목록범위" localSheetId="0">#REF!</definedName>
    <definedName name="테이블목록범위">#REF!</definedName>
    <definedName name="테이블목록범위2">#REF!</definedName>
    <definedName name="투자자구분코드">[1]항목별참고값!$Z$2:$Z$12</definedName>
    <definedName name="프로그램호가신고구분코드">[1]항목별참고값!$AO$2:$AO$5</definedName>
    <definedName name="호가">[1]항목별참고값!$A$3</definedName>
    <definedName name="호가유형코드">[1]항목별참고값!$V$2:$V$12</definedName>
    <definedName name="호가일자">[1]항목별참고값!$AA$2</definedName>
    <definedName name="호가조건코드">[1]항목별참고값!$W$2:$W$10</definedName>
    <definedName name="효력정지재개구분코드">[1]항목별참고값!$AP$2:$AP$7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85" i="4" l="1"/>
  <c r="H886" i="4" s="1"/>
  <c r="H887" i="4" s="1"/>
  <c r="H888" i="4" s="1"/>
  <c r="H889" i="4" s="1"/>
  <c r="H890" i="4" s="1"/>
  <c r="H891" i="4" s="1"/>
  <c r="H892" i="4" s="1"/>
  <c r="H873" i="4"/>
  <c r="H874" i="4" s="1"/>
  <c r="H875" i="4" s="1"/>
  <c r="H876" i="4" s="1"/>
  <c r="H877" i="4" s="1"/>
  <c r="H878" i="4" s="1"/>
  <c r="H879" i="4" s="1"/>
  <c r="H880" i="4" s="1"/>
  <c r="H881" i="4" s="1"/>
  <c r="H882" i="4" s="1"/>
  <c r="H846" i="4"/>
  <c r="H847" i="4" s="1"/>
  <c r="H848" i="4" s="1"/>
  <c r="H849" i="4" s="1"/>
  <c r="H850" i="4" s="1"/>
  <c r="H851" i="4" s="1"/>
  <c r="H852" i="4" s="1"/>
  <c r="H853" i="4" s="1"/>
  <c r="H854" i="4" s="1"/>
  <c r="H855" i="4" s="1"/>
  <c r="H856" i="4" s="1"/>
  <c r="H857" i="4" s="1"/>
  <c r="H858" i="4" s="1"/>
  <c r="H859" i="4" s="1"/>
  <c r="H860" i="4" s="1"/>
  <c r="H861" i="4" s="1"/>
  <c r="H862" i="4" s="1"/>
  <c r="H863" i="4" s="1"/>
  <c r="H864" i="4" s="1"/>
  <c r="H865" i="4" s="1"/>
  <c r="H866" i="4" s="1"/>
  <c r="H867" i="4" s="1"/>
  <c r="H868" i="4" s="1"/>
  <c r="H869" i="4" s="1"/>
  <c r="H870" i="4" s="1"/>
  <c r="H871" i="4" s="1"/>
  <c r="H816" i="4"/>
  <c r="H817" i="4" s="1"/>
  <c r="H818" i="4" s="1"/>
  <c r="H819" i="4" s="1"/>
  <c r="H820" i="4" s="1"/>
  <c r="H821" i="4" s="1"/>
  <c r="H822" i="4" s="1"/>
  <c r="H823" i="4" s="1"/>
  <c r="H824" i="4" s="1"/>
  <c r="H825" i="4" s="1"/>
  <c r="H826" i="4" s="1"/>
  <c r="H827" i="4" s="1"/>
  <c r="H828" i="4" s="1"/>
  <c r="H829" i="4" s="1"/>
  <c r="H830" i="4" s="1"/>
  <c r="H831" i="4" s="1"/>
  <c r="H832" i="4" s="1"/>
  <c r="H833" i="4" s="1"/>
  <c r="H834" i="4" s="1"/>
  <c r="H835" i="4" s="1"/>
  <c r="H836" i="4" s="1"/>
  <c r="H837" i="4" s="1"/>
  <c r="H838" i="4" s="1"/>
  <c r="H839" i="4" s="1"/>
  <c r="H840" i="4" s="1"/>
  <c r="H841" i="4" s="1"/>
  <c r="H842" i="4" s="1"/>
  <c r="H843" i="4" s="1"/>
  <c r="H844" i="4" s="1"/>
  <c r="B82" i="3"/>
  <c r="B83" i="3"/>
  <c r="H893" i="4" l="1"/>
  <c r="H894" i="4" s="1"/>
  <c r="H895" i="4" s="1"/>
  <c r="H883" i="4"/>
  <c r="H544" i="4"/>
  <c r="H545" i="4" s="1"/>
  <c r="H450" i="4"/>
  <c r="H451" i="4" s="1"/>
  <c r="H568" i="4"/>
  <c r="H569" i="4" s="1"/>
  <c r="H442" i="4"/>
  <c r="H443" i="4" s="1"/>
  <c r="H345" i="4"/>
  <c r="H346" i="4" s="1"/>
  <c r="H279" i="4"/>
  <c r="H280" i="4" s="1"/>
  <c r="H267" i="4"/>
  <c r="H268" i="4" s="1"/>
  <c r="H223" i="4"/>
  <c r="H224" i="4" s="1"/>
  <c r="H207" i="4"/>
  <c r="H208" i="4" s="1"/>
  <c r="H198" i="4"/>
  <c r="H199" i="4" s="1"/>
  <c r="H186" i="4"/>
  <c r="H187" i="4" s="1"/>
  <c r="H158" i="4"/>
  <c r="H159" i="4" s="1"/>
  <c r="H142" i="4"/>
  <c r="H143" i="4" s="1"/>
  <c r="H132" i="4"/>
  <c r="H133" i="4" s="1"/>
  <c r="H116" i="4"/>
  <c r="H117" i="4" s="1"/>
  <c r="H108" i="4"/>
  <c r="H109" i="4" s="1"/>
  <c r="H100" i="4"/>
  <c r="H101" i="4" s="1"/>
  <c r="B81" i="3"/>
  <c r="B30" i="3"/>
  <c r="B20" i="3"/>
  <c r="B80" i="3"/>
  <c r="H937" i="4" l="1"/>
  <c r="H922" i="4"/>
  <c r="H909" i="4"/>
  <c r="H897" i="4"/>
  <c r="H769" i="4"/>
  <c r="H732" i="4"/>
  <c r="H714" i="4"/>
  <c r="H700" i="4"/>
  <c r="H686" i="4"/>
  <c r="H667" i="4"/>
  <c r="H649" i="4"/>
  <c r="H636" i="4"/>
  <c r="H625" i="4"/>
  <c r="H611" i="4"/>
  <c r="H603" i="4"/>
  <c r="H595" i="4"/>
  <c r="H570" i="4"/>
  <c r="H571" i="4" s="1"/>
  <c r="H572" i="4" s="1"/>
  <c r="H573" i="4" s="1"/>
  <c r="H574" i="4" s="1"/>
  <c r="H575" i="4" s="1"/>
  <c r="H576" i="4" s="1"/>
  <c r="H577" i="4" s="1"/>
  <c r="H578" i="4" s="1"/>
  <c r="H579" i="4" s="1"/>
  <c r="H580" i="4" s="1"/>
  <c r="H581" i="4" s="1"/>
  <c r="H582" i="4" s="1"/>
  <c r="H583" i="4" s="1"/>
  <c r="H584" i="4" s="1"/>
  <c r="H585" i="4" s="1"/>
  <c r="H586" i="4" s="1"/>
  <c r="H587" i="4" s="1"/>
  <c r="H588" i="4" s="1"/>
  <c r="H589" i="4" s="1"/>
  <c r="H590" i="4" s="1"/>
  <c r="H591" i="4" s="1"/>
  <c r="H592" i="4" s="1"/>
  <c r="H593" i="4" s="1"/>
  <c r="H546" i="4"/>
  <c r="H547" i="4" s="1"/>
  <c r="H548" i="4" s="1"/>
  <c r="H549" i="4" s="1"/>
  <c r="H550" i="4" s="1"/>
  <c r="H551" i="4" s="1"/>
  <c r="H552" i="4" s="1"/>
  <c r="H553" i="4" s="1"/>
  <c r="H554" i="4" s="1"/>
  <c r="H555" i="4" s="1"/>
  <c r="H556" i="4" s="1"/>
  <c r="H557" i="4" s="1"/>
  <c r="H558" i="4" s="1"/>
  <c r="H559" i="4" s="1"/>
  <c r="H560" i="4" s="1"/>
  <c r="H561" i="4" s="1"/>
  <c r="H562" i="4" s="1"/>
  <c r="H563" i="4" s="1"/>
  <c r="H564" i="4" s="1"/>
  <c r="H565" i="4" s="1"/>
  <c r="H566" i="4" s="1"/>
  <c r="H444" i="4"/>
  <c r="H447" i="4" s="1"/>
  <c r="H448" i="4" s="1"/>
  <c r="H423" i="4"/>
  <c r="H411" i="4"/>
  <c r="H402" i="4"/>
  <c r="H389" i="4"/>
  <c r="H376" i="4"/>
  <c r="H363" i="4"/>
  <c r="H347" i="4"/>
  <c r="H348" i="4" s="1"/>
  <c r="H349" i="4" s="1"/>
  <c r="H350" i="4" s="1"/>
  <c r="H351" i="4" s="1"/>
  <c r="H352" i="4" s="1"/>
  <c r="H353" i="4" s="1"/>
  <c r="H354" i="4" s="1"/>
  <c r="H355" i="4" s="1"/>
  <c r="H356" i="4" s="1"/>
  <c r="H357" i="4" s="1"/>
  <c r="H358" i="4" s="1"/>
  <c r="H359" i="4" s="1"/>
  <c r="H360" i="4" s="1"/>
  <c r="H361" i="4" s="1"/>
  <c r="H327" i="4"/>
  <c r="H309" i="4"/>
  <c r="H291" i="4"/>
  <c r="H281" i="4"/>
  <c r="H282" i="4" s="1"/>
  <c r="H283" i="4" s="1"/>
  <c r="H284" i="4" s="1"/>
  <c r="H285" i="4" s="1"/>
  <c r="H286" i="4" s="1"/>
  <c r="H287" i="4" s="1"/>
  <c r="H288" i="4" s="1"/>
  <c r="H289" i="4" s="1"/>
  <c r="H269" i="4"/>
  <c r="H270" i="4" s="1"/>
  <c r="H271" i="4" s="1"/>
  <c r="H272" i="4" s="1"/>
  <c r="H273" i="4" s="1"/>
  <c r="H274" i="4" s="1"/>
  <c r="H275" i="4" s="1"/>
  <c r="H276" i="4" s="1"/>
  <c r="H277" i="4" s="1"/>
  <c r="H255" i="4"/>
  <c r="H233" i="4"/>
  <c r="H225" i="4"/>
  <c r="H226" i="4" s="1"/>
  <c r="H227" i="4" s="1"/>
  <c r="H228" i="4" s="1"/>
  <c r="H229" i="4" s="1"/>
  <c r="H230" i="4" s="1"/>
  <c r="H231" i="4" s="1"/>
  <c r="H215" i="4"/>
  <c r="H209" i="4"/>
  <c r="H210" i="4" s="1"/>
  <c r="H211" i="4" s="1"/>
  <c r="H212" i="4" s="1"/>
  <c r="H213" i="4" s="1"/>
  <c r="H200" i="4"/>
  <c r="H201" i="4" s="1"/>
  <c r="H202" i="4" s="1"/>
  <c r="H203" i="4" s="1"/>
  <c r="H204" i="4" s="1"/>
  <c r="H205" i="4" s="1"/>
  <c r="H188" i="4"/>
  <c r="H189" i="4" s="1"/>
  <c r="H190" i="4" s="1"/>
  <c r="H191" i="4" s="1"/>
  <c r="H192" i="4" s="1"/>
  <c r="H193" i="4" s="1"/>
  <c r="H194" i="4" s="1"/>
  <c r="H195" i="4" s="1"/>
  <c r="H196" i="4" s="1"/>
  <c r="H170" i="4"/>
  <c r="H160" i="4"/>
  <c r="H161" i="4" s="1"/>
  <c r="H162" i="4" s="1"/>
  <c r="H163" i="4" s="1"/>
  <c r="H164" i="4" s="1"/>
  <c r="H165" i="4" s="1"/>
  <c r="H166" i="4" s="1"/>
  <c r="H167" i="4" s="1"/>
  <c r="H168" i="4" s="1"/>
  <c r="H144" i="4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34" i="4"/>
  <c r="H135" i="4" s="1"/>
  <c r="H136" i="4" s="1"/>
  <c r="H137" i="4" s="1"/>
  <c r="H138" i="4" s="1"/>
  <c r="H139" i="4" s="1"/>
  <c r="H140" i="4" s="1"/>
  <c r="H118" i="4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10" i="4"/>
  <c r="H111" i="4" s="1"/>
  <c r="H112" i="4" s="1"/>
  <c r="H113" i="4" s="1"/>
  <c r="H114" i="4" s="1"/>
  <c r="H102" i="4"/>
  <c r="H103" i="4" s="1"/>
  <c r="H104" i="4" s="1"/>
  <c r="H105" i="4" s="1"/>
  <c r="H106" i="4" s="1"/>
  <c r="H79" i="4"/>
  <c r="H69" i="4"/>
  <c r="H55" i="4"/>
  <c r="H46" i="4"/>
  <c r="H36" i="4"/>
  <c r="H26" i="4"/>
  <c r="H19" i="4"/>
  <c r="H7" i="4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B48" i="3"/>
  <c r="B15" i="3"/>
  <c r="B62" i="3"/>
  <c r="B35" i="3"/>
  <c r="B74" i="3"/>
  <c r="B13" i="3"/>
  <c r="B78" i="3"/>
  <c r="B70" i="3"/>
  <c r="B55" i="3"/>
  <c r="B25" i="3"/>
  <c r="B8" i="3"/>
  <c r="B65" i="3"/>
  <c r="B79" i="3"/>
  <c r="B18" i="3"/>
  <c r="B67" i="3"/>
  <c r="B43" i="3"/>
  <c r="B23" i="3"/>
  <c r="B51" i="3"/>
  <c r="B86" i="3"/>
  <c r="B40" i="3"/>
  <c r="B33" i="3"/>
  <c r="B22" i="3"/>
  <c r="B24" i="3"/>
  <c r="B66" i="3"/>
  <c r="B31" i="3"/>
  <c r="B27" i="3"/>
  <c r="B52" i="3"/>
  <c r="B6" i="3"/>
  <c r="B71" i="3"/>
  <c r="B72" i="3"/>
  <c r="B12" i="3"/>
  <c r="B53" i="3"/>
  <c r="B19" i="3"/>
  <c r="B29" i="3"/>
  <c r="B68" i="3"/>
  <c r="B39" i="3"/>
  <c r="B58" i="3"/>
  <c r="B44" i="3"/>
  <c r="B64" i="3"/>
  <c r="B77" i="3"/>
  <c r="B46" i="3"/>
  <c r="B10" i="3"/>
  <c r="B38" i="3"/>
  <c r="B28" i="3"/>
  <c r="B26" i="3"/>
  <c r="B16" i="3"/>
  <c r="B56" i="3"/>
  <c r="B34" i="3"/>
  <c r="B50" i="3"/>
  <c r="B69" i="3"/>
  <c r="B36" i="3"/>
  <c r="B17" i="3"/>
  <c r="B85" i="3"/>
  <c r="B32" i="3"/>
  <c r="B42" i="3"/>
  <c r="B84" i="3"/>
  <c r="B45" i="3"/>
  <c r="B21" i="3"/>
  <c r="B37" i="3"/>
  <c r="B63" i="3"/>
  <c r="B7" i="3"/>
  <c r="B47" i="3"/>
  <c r="B5" i="3"/>
  <c r="B9" i="3"/>
  <c r="B76" i="3"/>
  <c r="B54" i="3"/>
  <c r="B57" i="3"/>
  <c r="B73" i="3"/>
  <c r="B75" i="3"/>
  <c r="B11" i="3"/>
  <c r="B49" i="3"/>
  <c r="B14" i="3"/>
  <c r="B61" i="3"/>
  <c r="B60" i="3"/>
  <c r="B41" i="3"/>
  <c r="B59" i="3"/>
  <c r="H256" i="4" l="1"/>
  <c r="H257" i="4" s="1"/>
  <c r="H258" i="4" s="1"/>
  <c r="H259" i="4" s="1"/>
  <c r="H260" i="4" s="1"/>
  <c r="H261" i="4" s="1"/>
  <c r="H262" i="4" s="1"/>
  <c r="H263" i="4" s="1"/>
  <c r="H264" i="4" s="1"/>
  <c r="H265" i="4" s="1"/>
  <c r="H938" i="4"/>
  <c r="H939" i="4" s="1"/>
  <c r="H940" i="4" s="1"/>
  <c r="H941" i="4" s="1"/>
  <c r="H942" i="4" s="1"/>
  <c r="H923" i="4"/>
  <c r="H924" i="4" s="1"/>
  <c r="H925" i="4" s="1"/>
  <c r="H926" i="4" s="1"/>
  <c r="H927" i="4" s="1"/>
  <c r="H928" i="4" s="1"/>
  <c r="H929" i="4" s="1"/>
  <c r="H930" i="4" s="1"/>
  <c r="H931" i="4" s="1"/>
  <c r="H932" i="4" s="1"/>
  <c r="H933" i="4" s="1"/>
  <c r="H934" i="4" s="1"/>
  <c r="H935" i="4" s="1"/>
  <c r="H910" i="4"/>
  <c r="H911" i="4" s="1"/>
  <c r="H912" i="4" s="1"/>
  <c r="H913" i="4" s="1"/>
  <c r="H914" i="4" s="1"/>
  <c r="H915" i="4" s="1"/>
  <c r="H916" i="4" s="1"/>
  <c r="H917" i="4" s="1"/>
  <c r="H918" i="4" s="1"/>
  <c r="H919" i="4" s="1"/>
  <c r="H920" i="4" s="1"/>
  <c r="H898" i="4"/>
  <c r="H899" i="4" s="1"/>
  <c r="H900" i="4" s="1"/>
  <c r="H901" i="4" s="1"/>
  <c r="H902" i="4" s="1"/>
  <c r="H903" i="4" s="1"/>
  <c r="H904" i="4" s="1"/>
  <c r="H905" i="4" s="1"/>
  <c r="H906" i="4" s="1"/>
  <c r="H907" i="4" s="1"/>
  <c r="H770" i="4"/>
  <c r="H771" i="4" s="1"/>
  <c r="H772" i="4" s="1"/>
  <c r="H773" i="4" s="1"/>
  <c r="H774" i="4" s="1"/>
  <c r="H775" i="4" s="1"/>
  <c r="H776" i="4" s="1"/>
  <c r="H777" i="4" s="1"/>
  <c r="H778" i="4" s="1"/>
  <c r="H779" i="4" s="1"/>
  <c r="H780" i="4" s="1"/>
  <c r="H781" i="4" s="1"/>
  <c r="H782" i="4" s="1"/>
  <c r="H783" i="4" s="1"/>
  <c r="H784" i="4" s="1"/>
  <c r="H785" i="4" s="1"/>
  <c r="H786" i="4" s="1"/>
  <c r="H787" i="4" s="1"/>
  <c r="H788" i="4" s="1"/>
  <c r="H789" i="4" s="1"/>
  <c r="H790" i="4" s="1"/>
  <c r="H791" i="4" s="1"/>
  <c r="H792" i="4" s="1"/>
  <c r="H793" i="4" s="1"/>
  <c r="H794" i="4" s="1"/>
  <c r="H795" i="4" s="1"/>
  <c r="H796" i="4" s="1"/>
  <c r="H797" i="4" s="1"/>
  <c r="H798" i="4" s="1"/>
  <c r="H799" i="4" s="1"/>
  <c r="H800" i="4" s="1"/>
  <c r="H801" i="4" s="1"/>
  <c r="H802" i="4" s="1"/>
  <c r="H803" i="4" s="1"/>
  <c r="H804" i="4" s="1"/>
  <c r="H805" i="4" s="1"/>
  <c r="H806" i="4" s="1"/>
  <c r="H807" i="4" s="1"/>
  <c r="H808" i="4" s="1"/>
  <c r="H809" i="4" s="1"/>
  <c r="H810" i="4" s="1"/>
  <c r="H811" i="4" s="1"/>
  <c r="H812" i="4" s="1"/>
  <c r="H813" i="4" s="1"/>
  <c r="H814" i="4" s="1"/>
  <c r="H733" i="4"/>
  <c r="H734" i="4" s="1"/>
  <c r="H735" i="4" s="1"/>
  <c r="H736" i="4" s="1"/>
  <c r="H737" i="4" s="1"/>
  <c r="H738" i="4" s="1"/>
  <c r="H739" i="4" s="1"/>
  <c r="H740" i="4" s="1"/>
  <c r="H741" i="4" s="1"/>
  <c r="H742" i="4" s="1"/>
  <c r="H743" i="4" s="1"/>
  <c r="H744" i="4" s="1"/>
  <c r="H745" i="4" s="1"/>
  <c r="H746" i="4" s="1"/>
  <c r="H747" i="4" s="1"/>
  <c r="H748" i="4" s="1"/>
  <c r="H749" i="4" s="1"/>
  <c r="H750" i="4" s="1"/>
  <c r="H751" i="4" s="1"/>
  <c r="H752" i="4" s="1"/>
  <c r="H753" i="4" s="1"/>
  <c r="H754" i="4" s="1"/>
  <c r="H755" i="4" s="1"/>
  <c r="H756" i="4" s="1"/>
  <c r="H757" i="4" s="1"/>
  <c r="H758" i="4" s="1"/>
  <c r="H759" i="4" s="1"/>
  <c r="H760" i="4" s="1"/>
  <c r="H761" i="4" s="1"/>
  <c r="H762" i="4" s="1"/>
  <c r="H763" i="4" s="1"/>
  <c r="H764" i="4" s="1"/>
  <c r="H765" i="4" s="1"/>
  <c r="H766" i="4" s="1"/>
  <c r="H767" i="4" s="1"/>
  <c r="H715" i="4"/>
  <c r="H716" i="4" s="1"/>
  <c r="H717" i="4" s="1"/>
  <c r="H718" i="4" s="1"/>
  <c r="H719" i="4" s="1"/>
  <c r="H720" i="4" s="1"/>
  <c r="H721" i="4" s="1"/>
  <c r="H722" i="4" s="1"/>
  <c r="H723" i="4" s="1"/>
  <c r="H724" i="4" s="1"/>
  <c r="H725" i="4" s="1"/>
  <c r="H726" i="4" s="1"/>
  <c r="H727" i="4" s="1"/>
  <c r="H728" i="4" s="1"/>
  <c r="H729" i="4" s="1"/>
  <c r="H730" i="4" s="1"/>
  <c r="H701" i="4"/>
  <c r="H702" i="4" s="1"/>
  <c r="H703" i="4" s="1"/>
  <c r="H704" i="4" s="1"/>
  <c r="H705" i="4" s="1"/>
  <c r="H706" i="4" s="1"/>
  <c r="H707" i="4" s="1"/>
  <c r="H708" i="4" s="1"/>
  <c r="H709" i="4" s="1"/>
  <c r="H710" i="4" s="1"/>
  <c r="H711" i="4" s="1"/>
  <c r="H712" i="4" s="1"/>
  <c r="H687" i="4"/>
  <c r="H688" i="4" s="1"/>
  <c r="H689" i="4" s="1"/>
  <c r="H690" i="4" s="1"/>
  <c r="H691" i="4" s="1"/>
  <c r="H692" i="4" s="1"/>
  <c r="H693" i="4" s="1"/>
  <c r="H694" i="4" s="1"/>
  <c r="H695" i="4" s="1"/>
  <c r="H696" i="4" s="1"/>
  <c r="H697" i="4" s="1"/>
  <c r="H698" i="4" s="1"/>
  <c r="H668" i="4"/>
  <c r="H669" i="4" s="1"/>
  <c r="H670" i="4" s="1"/>
  <c r="H671" i="4" s="1"/>
  <c r="H672" i="4" s="1"/>
  <c r="H673" i="4" s="1"/>
  <c r="H674" i="4" s="1"/>
  <c r="H675" i="4" s="1"/>
  <c r="H676" i="4" s="1"/>
  <c r="H677" i="4" s="1"/>
  <c r="H678" i="4" s="1"/>
  <c r="H679" i="4" s="1"/>
  <c r="H680" i="4" s="1"/>
  <c r="H681" i="4" s="1"/>
  <c r="H682" i="4" s="1"/>
  <c r="H683" i="4" s="1"/>
  <c r="H684" i="4" s="1"/>
  <c r="H650" i="4"/>
  <c r="H651" i="4" s="1"/>
  <c r="H652" i="4" s="1"/>
  <c r="H653" i="4" s="1"/>
  <c r="H654" i="4" s="1"/>
  <c r="H655" i="4" s="1"/>
  <c r="H656" i="4" s="1"/>
  <c r="H657" i="4" s="1"/>
  <c r="H658" i="4" s="1"/>
  <c r="H659" i="4" s="1"/>
  <c r="H660" i="4" s="1"/>
  <c r="H661" i="4" s="1"/>
  <c r="H662" i="4" s="1"/>
  <c r="H663" i="4" s="1"/>
  <c r="H664" i="4" s="1"/>
  <c r="H665" i="4" s="1"/>
  <c r="H637" i="4"/>
  <c r="H638" i="4" s="1"/>
  <c r="H639" i="4" s="1"/>
  <c r="H640" i="4" s="1"/>
  <c r="H641" i="4" s="1"/>
  <c r="H642" i="4" s="1"/>
  <c r="H643" i="4" s="1"/>
  <c r="H644" i="4" s="1"/>
  <c r="H645" i="4" s="1"/>
  <c r="H646" i="4" s="1"/>
  <c r="H647" i="4" s="1"/>
  <c r="H626" i="4"/>
  <c r="H627" i="4" s="1"/>
  <c r="H628" i="4" s="1"/>
  <c r="H629" i="4" s="1"/>
  <c r="H630" i="4" s="1"/>
  <c r="H631" i="4" s="1"/>
  <c r="H632" i="4" s="1"/>
  <c r="H633" i="4" s="1"/>
  <c r="H634" i="4" s="1"/>
  <c r="H612" i="4"/>
  <c r="H613" i="4" s="1"/>
  <c r="H614" i="4" s="1"/>
  <c r="H615" i="4" s="1"/>
  <c r="H616" i="4" s="1"/>
  <c r="H617" i="4" s="1"/>
  <c r="H618" i="4" s="1"/>
  <c r="H619" i="4" s="1"/>
  <c r="H620" i="4" s="1"/>
  <c r="H621" i="4" s="1"/>
  <c r="H622" i="4" s="1"/>
  <c r="H623" i="4" s="1"/>
  <c r="H604" i="4"/>
  <c r="H605" i="4" s="1"/>
  <c r="H606" i="4" s="1"/>
  <c r="H607" i="4" s="1"/>
  <c r="H608" i="4" s="1"/>
  <c r="H609" i="4" s="1"/>
  <c r="H596" i="4"/>
  <c r="H597" i="4" s="1"/>
  <c r="H598" i="4" s="1"/>
  <c r="H599" i="4" s="1"/>
  <c r="H600" i="4" s="1"/>
  <c r="H601" i="4" s="1"/>
  <c r="H424" i="4"/>
  <c r="H425" i="4" s="1"/>
  <c r="H426" i="4" s="1"/>
  <c r="H427" i="4" s="1"/>
  <c r="H428" i="4" s="1"/>
  <c r="H429" i="4" s="1"/>
  <c r="H430" i="4" s="1"/>
  <c r="H431" i="4" s="1"/>
  <c r="H432" i="4" s="1"/>
  <c r="H433" i="4" s="1"/>
  <c r="H434" i="4" s="1"/>
  <c r="H435" i="4" s="1"/>
  <c r="H436" i="4" s="1"/>
  <c r="H437" i="4" s="1"/>
  <c r="H438" i="4" s="1"/>
  <c r="H439" i="4" s="1"/>
  <c r="H440" i="4" s="1"/>
  <c r="H412" i="4"/>
  <c r="H413" i="4" s="1"/>
  <c r="H414" i="4" s="1"/>
  <c r="H415" i="4" s="1"/>
  <c r="H416" i="4" s="1"/>
  <c r="H417" i="4" s="1"/>
  <c r="H418" i="4" s="1"/>
  <c r="H419" i="4" s="1"/>
  <c r="H420" i="4" s="1"/>
  <c r="H421" i="4" s="1"/>
  <c r="H403" i="4"/>
  <c r="H404" i="4" s="1"/>
  <c r="H405" i="4" s="1"/>
  <c r="H406" i="4" s="1"/>
  <c r="H407" i="4" s="1"/>
  <c r="H408" i="4" s="1"/>
  <c r="H409" i="4" s="1"/>
  <c r="H390" i="4"/>
  <c r="H391" i="4" s="1"/>
  <c r="H392" i="4" s="1"/>
  <c r="H393" i="4" s="1"/>
  <c r="H394" i="4" s="1"/>
  <c r="H395" i="4" s="1"/>
  <c r="H396" i="4" s="1"/>
  <c r="H397" i="4" s="1"/>
  <c r="H398" i="4" s="1"/>
  <c r="H399" i="4" s="1"/>
  <c r="H400" i="4" s="1"/>
  <c r="H377" i="4"/>
  <c r="H378" i="4" s="1"/>
  <c r="H379" i="4" s="1"/>
  <c r="H380" i="4" s="1"/>
  <c r="H381" i="4" s="1"/>
  <c r="H382" i="4" s="1"/>
  <c r="H383" i="4" s="1"/>
  <c r="H384" i="4" s="1"/>
  <c r="H385" i="4" s="1"/>
  <c r="H386" i="4" s="1"/>
  <c r="H387" i="4" s="1"/>
  <c r="H364" i="4"/>
  <c r="H365" i="4" s="1"/>
  <c r="H366" i="4" s="1"/>
  <c r="H367" i="4" s="1"/>
  <c r="H368" i="4" s="1"/>
  <c r="H369" i="4" s="1"/>
  <c r="H370" i="4" s="1"/>
  <c r="H371" i="4" s="1"/>
  <c r="H372" i="4" s="1"/>
  <c r="H373" i="4" s="1"/>
  <c r="H374" i="4" s="1"/>
  <c r="H328" i="4"/>
  <c r="H329" i="4" s="1"/>
  <c r="H330" i="4" s="1"/>
  <c r="H331" i="4" s="1"/>
  <c r="H332" i="4" s="1"/>
  <c r="H333" i="4" s="1"/>
  <c r="H334" i="4" s="1"/>
  <c r="H335" i="4" s="1"/>
  <c r="H336" i="4" s="1"/>
  <c r="H337" i="4" s="1"/>
  <c r="H338" i="4" s="1"/>
  <c r="H339" i="4" s="1"/>
  <c r="H340" i="4" s="1"/>
  <c r="H341" i="4" s="1"/>
  <c r="H342" i="4" s="1"/>
  <c r="H343" i="4" s="1"/>
  <c r="H310" i="4"/>
  <c r="H311" i="4" s="1"/>
  <c r="H312" i="4" s="1"/>
  <c r="H313" i="4" s="1"/>
  <c r="H314" i="4" s="1"/>
  <c r="H315" i="4" s="1"/>
  <c r="H316" i="4" s="1"/>
  <c r="H317" i="4" s="1"/>
  <c r="H318" i="4" s="1"/>
  <c r="H319" i="4" s="1"/>
  <c r="H320" i="4" s="1"/>
  <c r="H321" i="4" s="1"/>
  <c r="H322" i="4" s="1"/>
  <c r="H323" i="4" s="1"/>
  <c r="H324" i="4" s="1"/>
  <c r="H325" i="4" s="1"/>
  <c r="H292" i="4"/>
  <c r="H293" i="4" s="1"/>
  <c r="H294" i="4" s="1"/>
  <c r="H295" i="4" s="1"/>
  <c r="H296" i="4" s="1"/>
  <c r="H297" i="4" s="1"/>
  <c r="H298" i="4" s="1"/>
  <c r="H299" i="4" s="1"/>
  <c r="H300" i="4" s="1"/>
  <c r="H301" i="4" s="1"/>
  <c r="H302" i="4" s="1"/>
  <c r="H303" i="4" s="1"/>
  <c r="H304" i="4" s="1"/>
  <c r="H305" i="4" s="1"/>
  <c r="H306" i="4" s="1"/>
  <c r="H307" i="4" s="1"/>
  <c r="H234" i="4"/>
  <c r="H235" i="4" s="1"/>
  <c r="H236" i="4" s="1"/>
  <c r="H237" i="4" s="1"/>
  <c r="H238" i="4" s="1"/>
  <c r="H239" i="4" s="1"/>
  <c r="H240" i="4" s="1"/>
  <c r="H241" i="4" s="1"/>
  <c r="H242" i="4" s="1"/>
  <c r="H243" i="4" s="1"/>
  <c r="H244" i="4" s="1"/>
  <c r="H245" i="4" s="1"/>
  <c r="H246" i="4" s="1"/>
  <c r="H247" i="4" s="1"/>
  <c r="H248" i="4" s="1"/>
  <c r="H249" i="4" s="1"/>
  <c r="H250" i="4" s="1"/>
  <c r="H251" i="4" s="1"/>
  <c r="H252" i="4" s="1"/>
  <c r="H253" i="4" s="1"/>
  <c r="H216" i="4"/>
  <c r="H217" i="4" s="1"/>
  <c r="H218" i="4" s="1"/>
  <c r="H219" i="4" s="1"/>
  <c r="H220" i="4" s="1"/>
  <c r="H221" i="4" s="1"/>
  <c r="H171" i="4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80" i="4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70" i="4"/>
  <c r="H71" i="4" s="1"/>
  <c r="H72" i="4" s="1"/>
  <c r="H73" i="4" s="1"/>
  <c r="H74" i="4" s="1"/>
  <c r="H75" i="4" s="1"/>
  <c r="H76" i="4" s="1"/>
  <c r="H77" i="4" s="1"/>
  <c r="H56" i="4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47" i="4"/>
  <c r="H48" i="4" s="1"/>
  <c r="H49" i="4" s="1"/>
  <c r="H50" i="4" s="1"/>
  <c r="H51" i="4" s="1"/>
  <c r="H52" i="4" s="1"/>
  <c r="H53" i="4" s="1"/>
  <c r="H37" i="4"/>
  <c r="H38" i="4" s="1"/>
  <c r="H39" i="4" s="1"/>
  <c r="H40" i="4" s="1"/>
  <c r="H41" i="4" s="1"/>
  <c r="H42" i="4" s="1"/>
  <c r="H43" i="4" s="1"/>
  <c r="H44" i="4" s="1"/>
  <c r="H27" i="4"/>
  <c r="H28" i="4" s="1"/>
  <c r="H29" i="4" s="1"/>
  <c r="H30" i="4" s="1"/>
  <c r="H31" i="4" s="1"/>
  <c r="H32" i="4" s="1"/>
  <c r="H33" i="4" s="1"/>
  <c r="H34" i="4" s="1"/>
  <c r="H20" i="4"/>
  <c r="H21" i="4" s="1"/>
  <c r="H22" i="4" s="1"/>
  <c r="H23" i="4" s="1"/>
  <c r="H24" i="4" s="1"/>
  <c r="AC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고광민</author>
    <author>admin</author>
  </authors>
  <commentList>
    <comment ref="I1" authorId="0" shapeId="0" xr:uid="{00000000-0006-0000-0200-000001000000}">
      <text>
        <r>
          <rPr>
            <sz val="9"/>
            <color rgb="FF000000"/>
            <rFont val="Tahoma"/>
            <family val="2"/>
          </rPr>
          <t xml:space="preserve">1.STK(S): </t>
        </r>
        <r>
          <rPr>
            <sz val="9"/>
            <color rgb="FF000000"/>
            <rFont val="돋움"/>
            <family val="3"/>
            <charset val="129"/>
          </rPr>
          <t xml:space="preserve">유가
</t>
        </r>
        <r>
          <rPr>
            <sz val="9"/>
            <color rgb="FF000000"/>
            <rFont val="Tahoma"/>
            <family val="2"/>
          </rPr>
          <t xml:space="preserve">2.KSQ(Q): </t>
        </r>
        <r>
          <rPr>
            <sz val="9"/>
            <color rgb="FF000000"/>
            <rFont val="돋움"/>
            <family val="3"/>
            <charset val="129"/>
          </rPr>
          <t xml:space="preserve">코스닥
</t>
        </r>
        <r>
          <rPr>
            <sz val="9"/>
            <color rgb="FF000000"/>
            <rFont val="Tahoma"/>
            <family val="2"/>
          </rPr>
          <t xml:space="preserve">8.KNX(X): </t>
        </r>
        <r>
          <rPr>
            <sz val="9"/>
            <color rgb="FF000000"/>
            <rFont val="돋움"/>
            <family val="3"/>
            <charset val="129"/>
          </rPr>
          <t xml:space="preserve">코넥스
</t>
        </r>
        <r>
          <rPr>
            <sz val="9"/>
            <color rgb="FF000000"/>
            <rFont val="Tahoma"/>
            <family val="2"/>
          </rPr>
          <t xml:space="preserve">4.BND(B): </t>
        </r>
        <r>
          <rPr>
            <sz val="9"/>
            <color rgb="FF000000"/>
            <rFont val="돋움"/>
            <family val="3"/>
            <charset val="129"/>
          </rPr>
          <t xml:space="preserve">일반채권
</t>
        </r>
        <r>
          <rPr>
            <sz val="9"/>
            <color rgb="FF000000"/>
            <rFont val="Tahoma"/>
            <family val="2"/>
          </rPr>
          <t xml:space="preserve">5.SMB(M): </t>
        </r>
        <r>
          <rPr>
            <sz val="9"/>
            <color rgb="FF000000"/>
            <rFont val="돋움"/>
            <family val="3"/>
            <charset val="129"/>
          </rPr>
          <t xml:space="preserve">소액채권
</t>
        </r>
        <r>
          <rPr>
            <sz val="9"/>
            <color rgb="FF000000"/>
            <rFont val="Tahoma"/>
            <family val="2"/>
          </rPr>
          <t xml:space="preserve">6.KTS(K): </t>
        </r>
        <r>
          <rPr>
            <sz val="9"/>
            <color rgb="FF000000"/>
            <rFont val="돋움"/>
            <family val="3"/>
            <charset val="129"/>
          </rPr>
          <t xml:space="preserve">국고채권
</t>
        </r>
        <r>
          <rPr>
            <sz val="9"/>
            <color rgb="FF000000"/>
            <rFont val="Tahoma"/>
            <family val="2"/>
          </rPr>
          <t xml:space="preserve">7.RPO(R): Repo
3.DRV(F): </t>
        </r>
        <r>
          <rPr>
            <sz val="9"/>
            <color rgb="FF000000"/>
            <rFont val="돋움"/>
            <family val="3"/>
            <charset val="129"/>
          </rPr>
          <t xml:space="preserve">파생
</t>
        </r>
        <r>
          <rPr>
            <sz val="9"/>
            <color rgb="FF000000"/>
            <rFont val="Tahoma"/>
            <family val="2"/>
          </rPr>
          <t xml:space="preserve">B.CMD(G): </t>
        </r>
        <r>
          <rPr>
            <sz val="9"/>
            <color rgb="FF000000"/>
            <rFont val="돋움"/>
            <family val="3"/>
            <charset val="129"/>
          </rPr>
          <t xml:space="preserve">금
</t>
        </r>
        <r>
          <rPr>
            <sz val="9"/>
            <color rgb="FF000000"/>
            <rFont val="Tahoma"/>
            <family val="2"/>
          </rPr>
          <t xml:space="preserve">C.ETS(E): </t>
        </r>
        <r>
          <rPr>
            <sz val="9"/>
            <color rgb="FF000000"/>
            <rFont val="돋움"/>
            <family val="3"/>
            <charset val="129"/>
          </rPr>
          <t xml:space="preserve">배출권
</t>
        </r>
        <r>
          <rPr>
            <sz val="9"/>
            <color rgb="FF000000"/>
            <rFont val="Tahoma"/>
            <family val="2"/>
          </rPr>
          <t xml:space="preserve">A.OIL(O): </t>
        </r>
        <r>
          <rPr>
            <sz val="9"/>
            <color rgb="FF000000"/>
            <rFont val="돋움"/>
            <family val="3"/>
            <charset val="129"/>
          </rPr>
          <t xml:space="preserve">석유
</t>
        </r>
        <r>
          <rPr>
            <sz val="9"/>
            <color rgb="FF000000"/>
            <rFont val="Tahoma"/>
            <family val="2"/>
          </rPr>
          <t xml:space="preserve">OTCB: </t>
        </r>
        <r>
          <rPr>
            <sz val="9"/>
            <color rgb="FF000000"/>
            <rFont val="돋움"/>
            <family val="3"/>
            <charset val="129"/>
          </rPr>
          <t xml:space="preserve">장외채권
</t>
        </r>
        <r>
          <rPr>
            <sz val="9"/>
            <color rgb="FF000000"/>
            <rFont val="Tahoma"/>
            <family val="2"/>
          </rPr>
          <t xml:space="preserve">KOTC: </t>
        </r>
        <r>
          <rPr>
            <sz val="9"/>
            <color rgb="FF000000"/>
            <rFont val="돋움"/>
            <family val="3"/>
            <charset val="129"/>
          </rPr>
          <t>장외주식</t>
        </r>
      </text>
    </comment>
    <comment ref="J3" authorId="1" shapeId="0" xr:uid="{00000000-0006-0000-0200-000002000000}">
      <text>
        <r>
          <rPr>
            <b/>
            <sz val="9"/>
            <color rgb="FF000000"/>
            <rFont val="돋움"/>
            <family val="3"/>
            <charset val="129"/>
          </rPr>
          <t>KRX 2023.1 미 가동(추후 가동 예정)</t>
        </r>
      </text>
    </comment>
    <comment ref="O3" authorId="1" shapeId="0" xr:uid="{00000000-0006-0000-0200-000003000000}">
      <text>
        <r>
          <rPr>
            <b/>
            <sz val="9"/>
            <color rgb="FF000000"/>
            <rFont val="돋움"/>
            <family val="3"/>
            <charset val="129"/>
          </rPr>
          <t>KRX 2023.1 미 가동(추후 가동 예정)</t>
        </r>
      </text>
    </comment>
    <comment ref="R3" authorId="1" shapeId="0" xr:uid="{00000000-0006-0000-0200-000004000000}">
      <text>
        <r>
          <rPr>
            <b/>
            <sz val="9"/>
            <color rgb="FF000000"/>
            <rFont val="돋움"/>
            <family val="3"/>
            <charset val="129"/>
          </rPr>
          <t>KRX 2023.1 미 가동(추후 가동 예정)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2" authorId="0" shapeId="0" xr:uid="{00000000-0006-0000-0400-000001000000}">
      <text>
        <r>
          <rPr>
            <b/>
            <sz val="9"/>
            <color rgb="FF000000"/>
            <rFont val="돋움"/>
            <family val="3"/>
            <charset val="129"/>
          </rPr>
          <t>증권</t>
        </r>
        <r>
          <rPr>
            <b/>
            <sz val="9"/>
            <color rgb="FF000000"/>
            <rFont val="Tahoma"/>
            <family val="2"/>
          </rPr>
          <t xml:space="preserve">A
</t>
        </r>
        <r>
          <rPr>
            <b/>
            <sz val="9"/>
            <color rgb="FF000000"/>
            <rFont val="돋움"/>
            <family val="3"/>
            <charset val="129"/>
          </rPr>
          <t>증권</t>
        </r>
        <r>
          <rPr>
            <b/>
            <sz val="9"/>
            <color rgb="FF000000"/>
            <rFont val="Tahoma"/>
            <family val="2"/>
          </rPr>
          <t xml:space="preserve">B
</t>
        </r>
        <r>
          <rPr>
            <b/>
            <sz val="9"/>
            <color rgb="FF000000"/>
            <rFont val="돋움"/>
            <family val="3"/>
            <charset val="129"/>
          </rPr>
          <t>증권</t>
        </r>
        <r>
          <rPr>
            <b/>
            <sz val="9"/>
            <color rgb="FF000000"/>
            <rFont val="Tahoma"/>
            <family val="2"/>
          </rPr>
          <t xml:space="preserve">C
</t>
        </r>
        <r>
          <rPr>
            <b/>
            <sz val="9"/>
            <color rgb="FF000000"/>
            <rFont val="돋움"/>
            <family val="3"/>
            <charset val="129"/>
          </rPr>
          <t>파생</t>
        </r>
        <r>
          <rPr>
            <b/>
            <sz val="9"/>
            <color rgb="FF000000"/>
            <rFont val="Tahoma"/>
            <family val="2"/>
          </rPr>
          <t xml:space="preserve">A
</t>
        </r>
        <r>
          <rPr>
            <b/>
            <sz val="9"/>
            <color rgb="FF000000"/>
            <rFont val="돋움"/>
            <family val="3"/>
            <charset val="129"/>
          </rPr>
          <t>파생</t>
        </r>
        <r>
          <rPr>
            <b/>
            <sz val="9"/>
            <color rgb="FF000000"/>
            <rFont val="Tahoma"/>
            <family val="2"/>
          </rPr>
          <t xml:space="preserve">B
</t>
        </r>
        <r>
          <rPr>
            <b/>
            <sz val="9"/>
            <color rgb="FF000000"/>
            <rFont val="돋움"/>
            <family val="3"/>
            <charset val="129"/>
          </rPr>
          <t>채권
일반상품</t>
        </r>
      </text>
    </comment>
    <comment ref="B2" authorId="0" shapeId="0" xr:uid="{00000000-0006-0000-0400-000002000000}">
      <text>
        <r>
          <rPr>
            <b/>
            <sz val="9"/>
            <color rgb="FF000000"/>
            <rFont val="돋움"/>
            <family val="3"/>
            <charset val="129"/>
          </rPr>
          <t>유가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유가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유가</t>
        </r>
        <r>
          <rPr>
            <b/>
            <sz val="9"/>
            <color rgb="FF000000"/>
            <rFont val="Tahoma"/>
            <family val="2"/>
          </rPr>
          <t xml:space="preserve"> 128K
</t>
        </r>
        <r>
          <rPr>
            <b/>
            <sz val="9"/>
            <color rgb="FF000000"/>
            <rFont val="돋움"/>
            <family val="3"/>
            <charset val="129"/>
          </rPr>
          <t>구조화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구조화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코스닥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코스닥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코스닥</t>
        </r>
        <r>
          <rPr>
            <b/>
            <sz val="9"/>
            <color rgb="FF000000"/>
            <rFont val="Tahoma"/>
            <family val="2"/>
          </rPr>
          <t xml:space="preserve"> 128K
</t>
        </r>
        <r>
          <rPr>
            <b/>
            <sz val="9"/>
            <color rgb="FF000000"/>
            <rFont val="돋움"/>
            <family val="3"/>
            <charset val="129"/>
          </rPr>
          <t>선물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선물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파생</t>
        </r>
        <r>
          <rPr>
            <b/>
            <sz val="9"/>
            <color rgb="FF000000"/>
            <rFont val="Tahoma"/>
            <family val="2"/>
          </rPr>
          <t xml:space="preserve"> 128K
</t>
        </r>
        <r>
          <rPr>
            <b/>
            <sz val="9"/>
            <color rgb="FF000000"/>
            <rFont val="돋움"/>
            <family val="3"/>
            <charset val="129"/>
          </rPr>
          <t>콜옵션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콜옵션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풋옵션</t>
        </r>
        <r>
          <rPr>
            <b/>
            <sz val="9"/>
            <color rgb="FF000000"/>
            <rFont val="Tahoma"/>
            <family val="2"/>
          </rPr>
          <t xml:space="preserve"> 100M
</t>
        </r>
        <r>
          <rPr>
            <b/>
            <sz val="9"/>
            <color rgb="FF000000"/>
            <rFont val="돋움"/>
            <family val="3"/>
            <charset val="129"/>
          </rPr>
          <t>풋옵션</t>
        </r>
        <r>
          <rPr>
            <b/>
            <sz val="9"/>
            <color rgb="FF000000"/>
            <rFont val="Tahoma"/>
            <family val="2"/>
          </rPr>
          <t xml:space="preserve"> 12M
</t>
        </r>
        <r>
          <rPr>
            <b/>
            <sz val="9"/>
            <color rgb="FF000000"/>
            <rFont val="돋움"/>
            <family val="3"/>
            <charset val="129"/>
          </rPr>
          <t>채권</t>
        </r>
        <r>
          <rPr>
            <b/>
            <sz val="9"/>
            <color rgb="FF000000"/>
            <rFont val="Tahoma"/>
            <family val="2"/>
          </rPr>
          <t xml:space="preserve"> 8M
</t>
        </r>
        <r>
          <rPr>
            <b/>
            <sz val="9"/>
            <color rgb="FF000000"/>
            <rFont val="돋움"/>
            <family val="3"/>
            <charset val="129"/>
          </rPr>
          <t>채권</t>
        </r>
        <r>
          <rPr>
            <b/>
            <sz val="9"/>
            <color rgb="FF000000"/>
            <rFont val="Tahoma"/>
            <family val="2"/>
          </rPr>
          <t xml:space="preserve"> 512K</t>
        </r>
      </text>
    </comment>
    <comment ref="C2" authorId="0" shapeId="0" xr:uid="{00000000-0006-0000-0400-000003000000}">
      <text>
        <r>
          <rPr>
            <b/>
            <sz val="9"/>
            <color rgb="FF000000"/>
            <rFont val="Tahoma"/>
            <family val="2"/>
          </rPr>
          <t>Multicast
Broadcast</t>
        </r>
      </text>
    </comment>
    <comment ref="H2" authorId="0" shapeId="0" xr:uid="{00000000-0006-0000-0400-000004000000}">
      <text>
        <r>
          <rPr>
            <b/>
            <sz val="9"/>
            <color rgb="FF000000"/>
            <rFont val="돋움"/>
            <family val="3"/>
            <charset val="129"/>
          </rPr>
          <t>데이터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구분코드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입력</t>
        </r>
        <r>
          <rPr>
            <b/>
            <sz val="9"/>
            <color rgb="FF000000"/>
            <rFont val="Tahoma"/>
            <family val="2"/>
          </rPr>
          <t xml:space="preserve"> </t>
        </r>
        <r>
          <rPr>
            <b/>
            <sz val="9"/>
            <color rgb="FF000000"/>
            <rFont val="돋움"/>
            <family val="3"/>
            <charset val="129"/>
          </rPr>
          <t>예정</t>
        </r>
      </text>
    </comment>
  </commentList>
</comments>
</file>

<file path=xl/sharedStrings.xml><?xml version="1.0" encoding="utf-8"?>
<sst xmlns="http://schemas.openxmlformats.org/spreadsheetml/2006/main" count="6400" uniqueCount="1451">
  <si>
    <t>인터페이스 변경이력</t>
  </si>
  <si>
    <t>버전</t>
  </si>
  <si>
    <t>날짜</t>
  </si>
  <si>
    <t>변경내용</t>
  </si>
  <si>
    <t>변경구분</t>
  </si>
  <si>
    <t>전문명</t>
  </si>
  <si>
    <t>정보상품</t>
  </si>
  <si>
    <t>비고</t>
  </si>
  <si>
    <t>1.00</t>
  </si>
  <si>
    <t>□ 최초작성</t>
  </si>
  <si>
    <t>* 정보, 시장구분코드 변경(별첨-정보,시장구분코드 참조)</t>
  </si>
  <si>
    <t>* 레코드 사이즈 변경 : 50 → 77
 - 지수ID 사이즈 변경: 3 → 6
 - 표준코드 추가: 12
 - 지수, 대비 항목 사이즈 변경 8 → 9
 - 채결수량, 거래대금 항목 사이즈 변경 : 8 → 12
 - 필러사이즈 변경 : 2 → 4</t>
    <phoneticPr fontId="27" type="noConversion"/>
  </si>
  <si>
    <t>FnGuide 지수(구 MKF지수)(E2011)
WiseFn주식지수(P3011)
MSCI Korea지수:(O5019)</t>
  </si>
  <si>
    <r>
      <rPr>
        <b/>
        <sz val="8"/>
        <color rgb="FF000000"/>
        <rFont val="D2Coding"/>
        <family val="3"/>
        <charset val="129"/>
      </rPr>
      <t>※</t>
    </r>
    <r>
      <rPr>
        <b/>
        <sz val="8"/>
        <color rgb="FF000000"/>
        <rFont val="맑은 고딕"/>
        <family val="3"/>
        <charset val="129"/>
      </rPr>
      <t xml:space="preserve"> </t>
    </r>
    <r>
      <rPr>
        <b/>
        <sz val="12"/>
        <color rgb="FF000000"/>
        <rFont val="맑은 고딕"/>
        <family val="3"/>
        <charset val="129"/>
      </rPr>
      <t xml:space="preserve">MKF지수, WISEFn지수는 지수에 소수점을 표현합니다.
  </t>
    </r>
    <r>
      <rPr>
        <b/>
        <u/>
        <sz val="12"/>
        <color rgb="FF000000"/>
        <rFont val="맑은 고딕"/>
        <family val="3"/>
        <charset val="129"/>
      </rPr>
      <t>그외의 TR들은 소수점을 표출하지 않습니다.</t>
    </r>
    <phoneticPr fontId="27" type="noConversion"/>
  </si>
  <si>
    <t>* TR코드 변경 
 - 시장구분과 정보구분의 변경에 의한 TR코드 변경</t>
  </si>
  <si>
    <t>인터페이스목록 sheet 참조</t>
  </si>
  <si>
    <t>* 인터넷(TCP)분배 레코드 마감 변경
 - 변경 전 : FF + &lt;CR&gt;&lt;LF&gt;
 - 변경 후 : FF</t>
  </si>
  <si>
    <t>전체TR</t>
  </si>
  <si>
    <t>* 전용선(UDP)분배 멀티캐스트 전송그룹 및 포트 변경</t>
  </si>
  <si>
    <t>시세상품별 UDP회선별 송신채널정보 참조</t>
  </si>
  <si>
    <t>* 인터넷(TCP)분배 전송IP 및 포트 변경</t>
  </si>
  <si>
    <t>인터넷(TCP) 시세상품별 송신채널정보 참조</t>
  </si>
  <si>
    <t>* 누락TR추가
 - 대주가능수량공시 (CC000)
 - K-OTC 외국인 종목별투자정보(확정치)(F1013)
 - K-OTC 외국인 주문가능수량(F2013) 
 - K-OTC 외국인 예비주문지정/해지(F3013)
 - K-OTC 외국인 확정치데이터재전송(F4013)
 - K-OTC 외국인 한도소진장외매매(F5013)
* 전송그룹 정정
 - 해외지수ETF대상지수(종가) 전송그룹 변경(233.38.231.37 → 233.38.231.38)
* TR삭제
 - 채권 외국인 예비주문지정/해지
 - 채권 외국인 한도소진장외매매
* TR-Code 변경
 - 채권 외국인 종목별투자정보(확정치) : F100B → F1907
 - 채권 외국인 주문가능수량: F200B → F2907
 - 채권 외국인 확정치데이터재전송 : F400B → F4907</t>
    <phoneticPr fontId="27" type="noConversion"/>
  </si>
  <si>
    <t xml:space="preserve">
대주가능수량공시(CC000)
K-OTC 외국인 종목별투자정보(확정치)(F1013)
K-OTC 외국인 주문가능수량(F2013) 
K-OTC 외국인 예비주문지정/해지(F3013)
K-OTC 외국인 확정치데이터재전송(F4013)
K-OTC 외국인 한도소진장외매매(F5013)
해외지수ETF대상지수(종가)(M3000)
채권 외국인 예비주문지정/해지(F300B)
채권 외국인 한도소진장외매매(F500B)
채권 외국인 종목별투자정보(확정치)(F1907)
채권 외국인 주문가능수량(F2907)
채권 외국인 확정치데이터재전송(F4907)</t>
    <phoneticPr fontId="27" type="noConversion"/>
  </si>
  <si>
    <t>* 유가회선, 구조화회선, 선물회선 정보에 100M 정보 추가
* 채권회선에 8M 정보 추가</t>
    <phoneticPr fontId="27" type="noConversion"/>
  </si>
  <si>
    <t>전체TR</t>
    <phoneticPr fontId="27" type="noConversion"/>
  </si>
  <si>
    <t>* ETF NAV, ETF 예상NAV를 유가증권에서 삭제하고, 구조회회선에 100M 상품추가
* 유가회선, 코스닥회선, 채권회선 일부TR의 전송그룹 및 포트 변경</t>
    <phoneticPr fontId="27" type="noConversion"/>
  </si>
  <si>
    <t>ETF NAV(BV03S), ETF 예상NAV(BW03S)
시세상품별 UDP회선별 송신채널정보 sheet참조</t>
    <phoneticPr fontId="27" type="noConversion"/>
  </si>
  <si>
    <t xml:space="preserve">* 전송그룹 삭제 및 사유
 - 233.38.231.31 : 채권회선의 전송그룹으로 대체 233.38.231.173
 - 233.38.231.34 : 채권회선의 전송그룹으로 대체 233.38.231.169
 - 233.38.231.115 : UDP송신 상품 폐지
 - 233.38.231.168 : 전송그룹 233.38.231.167으로 통합 </t>
    <phoneticPr fontId="27" type="noConversion"/>
  </si>
  <si>
    <t>* 인터페이스정의서 변경
 - 삭제 컬럼 : 변경내역, 기존길이
 - 추가 컬럼 : Data Type
 - '정보구분'과 '시장구분'을 병합하여 '정보구분값'으로 변경
 - 정보구분값 변경 : 907 → 00B
* 인터페이스목록
 - 외국인투자정보 실시간 데이터의 제공주기를 실시간제공으로 변경
 - TR-CODE 변경 : F1907→F100B, F2907→F200B, F3907→F300B, F4907→F400B
 - TR-CODE 추가 : F500B</t>
    <phoneticPr fontId="27" type="noConversion"/>
  </si>
  <si>
    <t>인터페이스목록, 인터페이스정의서 참고</t>
    <phoneticPr fontId="27" type="noConversion"/>
  </si>
  <si>
    <t>* 시세상품별 UDP회선별 송신채널정보
 - 운용포트, 테스트포트, 재전송용 포트 변경</t>
    <phoneticPr fontId="27" type="noConversion"/>
  </si>
  <si>
    <t>시세상품별 UDP회선별 송신채널정보 참고</t>
    <phoneticPr fontId="27" type="noConversion"/>
  </si>
  <si>
    <t>* J8077 스펙 누락분 추가 : 결제일정보, 체결, 개시, 마감</t>
    <phoneticPr fontId="27" type="noConversion"/>
  </si>
  <si>
    <t>인터페이스 ID
(링크)</t>
  </si>
  <si>
    <t>인터페이스 명
(전문명)</t>
  </si>
  <si>
    <t>송수신
방법</t>
  </si>
  <si>
    <t>업무 상세 내용</t>
  </si>
  <si>
    <t>제공 주기</t>
    <phoneticPr fontId="27" type="noConversion"/>
  </si>
  <si>
    <t>TR-CODE</t>
  </si>
  <si>
    <t>온라인
배치
구분</t>
  </si>
  <si>
    <t>시장구분</t>
  </si>
  <si>
    <t>길이</t>
  </si>
  <si>
    <t>증권A/100M</t>
  </si>
  <si>
    <t>증권A/12M</t>
  </si>
  <si>
    <t>증권A/128K</t>
  </si>
  <si>
    <t>주식파생대상종목시세/100M</t>
  </si>
  <si>
    <t>주식파생대상종목시세/12M</t>
  </si>
  <si>
    <t>증권B/100M</t>
  </si>
  <si>
    <t>증권B/12M</t>
  </si>
  <si>
    <t>증권B/128K</t>
  </si>
  <si>
    <t>증권C/100M(ELW회선)</t>
  </si>
  <si>
    <t>증권C/12M(ELW회선)</t>
  </si>
  <si>
    <t>채권A/8M</t>
  </si>
  <si>
    <t>채권A/512K</t>
  </si>
  <si>
    <t>채권A/128K</t>
  </si>
  <si>
    <t>일반상품/100M</t>
  </si>
  <si>
    <t>일반상품/12M</t>
  </si>
  <si>
    <t>그룹1(지수상품1)</t>
  </si>
  <si>
    <t>그룹2(지수상품2)</t>
  </si>
  <si>
    <t>그룹3(인터넷분배)</t>
  </si>
  <si>
    <t>인터넷분배</t>
  </si>
  <si>
    <t>Polling Data</t>
  </si>
  <si>
    <t>UDP-MC</t>
  </si>
  <si>
    <t>1분</t>
  </si>
  <si>
    <t>I2000</t>
  </si>
  <si>
    <t>O</t>
  </si>
  <si>
    <t>ALL</t>
  </si>
  <si>
    <t>●</t>
  </si>
  <si>
    <t>IFMIDIP1000</t>
    <phoneticPr fontId="27" type="noConversion"/>
  </si>
  <si>
    <t>코스피 외국인 종목별투자정보(확정치)</t>
  </si>
  <si>
    <t>6:10, 6:50</t>
  </si>
  <si>
    <t>F101S ← F1011</t>
  </si>
  <si>
    <t>B</t>
  </si>
  <si>
    <t>STK</t>
  </si>
  <si>
    <t>F101S</t>
  </si>
  <si>
    <t>코스닥 외국인 종목별투자정보(확정치)</t>
    <phoneticPr fontId="27" type="noConversion"/>
  </si>
  <si>
    <t>F101Q ← F1012</t>
  </si>
  <si>
    <t>KSQ</t>
  </si>
  <si>
    <t>코넥스 외국인 종목별투자정보(확정치)</t>
  </si>
  <si>
    <t>F101X ← F1018</t>
  </si>
  <si>
    <t>KNX</t>
  </si>
  <si>
    <t>K-OTC 외국인 종목별투자정보(확정치)</t>
  </si>
  <si>
    <t>F1013</t>
    <phoneticPr fontId="27" type="noConversion"/>
  </si>
  <si>
    <t>KOTC</t>
  </si>
  <si>
    <t>채권 외국인 종목별투자정보(확정치)</t>
  </si>
  <si>
    <t>F100B ← F1907</t>
    <phoneticPr fontId="27" type="noConversion"/>
  </si>
  <si>
    <t>BND</t>
  </si>
  <si>
    <t>코스피 외국인 주문가능수량</t>
  </si>
  <si>
    <t>실시간제공</t>
    <phoneticPr fontId="27" type="noConversion"/>
  </si>
  <si>
    <t>F201S ← F2011</t>
  </si>
  <si>
    <t>O</t>
    <phoneticPr fontId="27" type="noConversion"/>
  </si>
  <si>
    <t>F201S</t>
  </si>
  <si>
    <t>코스닥 외국인 주문가능수량</t>
  </si>
  <si>
    <t>F201Q ← F2012</t>
  </si>
  <si>
    <t>코넥스 외국인 주문가능수량</t>
  </si>
  <si>
    <t>F201X ← F2018</t>
    <phoneticPr fontId="27" type="noConversion"/>
  </si>
  <si>
    <t>K-OTC 외국인 주문가능수량</t>
  </si>
  <si>
    <t>F2013</t>
  </si>
  <si>
    <t>채권 외국인 주문가능수량</t>
  </si>
  <si>
    <t>F200B ← F2907</t>
    <phoneticPr fontId="27" type="noConversion"/>
  </si>
  <si>
    <t>코스피 외국인 예비주문지정/해지</t>
  </si>
  <si>
    <t>F301S ← F3011</t>
  </si>
  <si>
    <t>F301S</t>
  </si>
  <si>
    <t>코스닥 외국인 예비주문지정/해지</t>
  </si>
  <si>
    <t>F301Q ← F3012</t>
  </si>
  <si>
    <t>코넥스 외국인 예비주문지정/해지</t>
  </si>
  <si>
    <t>F301X ← F3018</t>
  </si>
  <si>
    <t>K-OTC 외국인 예비주문지정/해지</t>
  </si>
  <si>
    <t>F3013</t>
  </si>
  <si>
    <t>채권 외국인 예비주문지정/해지</t>
    <phoneticPr fontId="27" type="noConversion"/>
  </si>
  <si>
    <t>F300B ← F3907</t>
    <phoneticPr fontId="27" type="noConversion"/>
  </si>
  <si>
    <t>코스피 외국인 확정치데이터재전송</t>
  </si>
  <si>
    <t>F401S ← F4011</t>
  </si>
  <si>
    <t>F401S</t>
  </si>
  <si>
    <t>코스닥 외국인 확정치데이터재전송</t>
  </si>
  <si>
    <t>F401Q ← F4012</t>
  </si>
  <si>
    <t>코넥스 외국인 확정치데이터재전송</t>
  </si>
  <si>
    <t>F401X ← F4018</t>
  </si>
  <si>
    <t>K-OTC 외국인 확정치데이터재전송</t>
  </si>
  <si>
    <t>F4013</t>
  </si>
  <si>
    <t>채권 외국인 확정치데이터재전송</t>
  </si>
  <si>
    <t>F400B ← F4907</t>
    <phoneticPr fontId="27" type="noConversion"/>
  </si>
  <si>
    <t>코스피 외국인 한도소진장외매매</t>
  </si>
  <si>
    <t>F501S ← F5011</t>
  </si>
  <si>
    <t>F501S</t>
  </si>
  <si>
    <t>코스닥 외국인 한도소진장외매매</t>
  </si>
  <si>
    <t>F501Q ← F5012</t>
  </si>
  <si>
    <t>코넥스 외국인 한도소진장외매매</t>
  </si>
  <si>
    <t>F501X ← F5018</t>
  </si>
  <si>
    <t>K-OTC 외국인 한도소진장외매매</t>
  </si>
  <si>
    <t>F5013</t>
    <phoneticPr fontId="27" type="noConversion"/>
  </si>
  <si>
    <t>채권 외국인 한도소진장외매매</t>
    <phoneticPr fontId="27" type="noConversion"/>
  </si>
  <si>
    <t>F500B ← F5907</t>
    <phoneticPr fontId="27" type="noConversion"/>
  </si>
  <si>
    <t>코스피 외국인 매매/결제현황</t>
  </si>
  <si>
    <t>F601S ← F6011</t>
  </si>
  <si>
    <t>F601S</t>
  </si>
  <si>
    <t>코스닥 외국인 매매/결제현황</t>
  </si>
  <si>
    <t>F601Q ← F6012</t>
  </si>
  <si>
    <t>코넥스 외국인 매매/결제현황</t>
  </si>
  <si>
    <t>F601X ← F6018</t>
  </si>
  <si>
    <t>대주가능수량공시</t>
  </si>
  <si>
    <t>실시간제공</t>
  </si>
  <si>
    <t>CC000 ← CC011</t>
  </si>
  <si>
    <t>CC000</t>
  </si>
  <si>
    <t>ETF NAV (주기단축)</t>
  </si>
  <si>
    <t>BV03S ← BV011</t>
    <phoneticPr fontId="27" type="noConversion"/>
  </si>
  <si>
    <t>BV03S</t>
  </si>
  <si>
    <t>ETF 예상 NAV(주기단축)</t>
  </si>
  <si>
    <t>동시호가시간</t>
  </si>
  <si>
    <t>BW03S ← BW011</t>
  </si>
  <si>
    <t>BW03S</t>
  </si>
  <si>
    <t>ETF PDF</t>
  </si>
  <si>
    <t>F803S ← F8011</t>
  </si>
  <si>
    <t>F803S</t>
  </si>
  <si>
    <t>해외지수 ETF NAV</t>
  </si>
  <si>
    <t>L503S ← L5011</t>
  </si>
  <si>
    <t>L503S</t>
  </si>
  <si>
    <t>ETF 운용사정보</t>
  </si>
  <si>
    <t>M803S ← M8011</t>
  </si>
  <si>
    <t>M803S</t>
  </si>
  <si>
    <t>ETF 사무수탁배치</t>
  </si>
  <si>
    <t>N803S ← N8011</t>
  </si>
  <si>
    <t>N803S</t>
  </si>
  <si>
    <t>ETF 추적오차율</t>
  </si>
  <si>
    <t>P603S ← P6011</t>
  </si>
  <si>
    <t>P603S</t>
  </si>
  <si>
    <t>해외지수ETF 추적오차율</t>
  </si>
  <si>
    <t>P703S ← P7011</t>
  </si>
  <si>
    <t>P703S</t>
  </si>
  <si>
    <t>합성ETF 일일 거래상대방 위험평가액 정보</t>
  </si>
  <si>
    <t>Q403S ← Q4011</t>
  </si>
  <si>
    <t>Q403S</t>
  </si>
  <si>
    <t>합성ETF 기초지수 구성종목</t>
  </si>
  <si>
    <t>Q503S ← Q5011</t>
  </si>
  <si>
    <t>Q503S</t>
  </si>
  <si>
    <t>ETN_사무수탁정보</t>
  </si>
  <si>
    <t>S104S ← S1011</t>
  </si>
  <si>
    <t>S104S</t>
  </si>
  <si>
    <t>ETN 기초지수 구성종목</t>
  </si>
  <si>
    <t>S204S ← S2011</t>
  </si>
  <si>
    <t>S204S</t>
  </si>
  <si>
    <t>ETN IIV</t>
  </si>
  <si>
    <t>S304S ← S3011</t>
  </si>
  <si>
    <t>S304S</t>
  </si>
  <si>
    <t>ETN 괴리율</t>
  </si>
  <si>
    <t>X404S ← X4011</t>
  </si>
  <si>
    <t>X404S</t>
  </si>
  <si>
    <t>ELW 투자지표민감도</t>
  </si>
  <si>
    <t>C702S ← C7021</t>
  </si>
  <si>
    <t>C702S</t>
  </si>
  <si>
    <t>ELW LP호가 내재변동성</t>
  </si>
  <si>
    <t>N302S ← N3021</t>
  </si>
  <si>
    <t>N302S</t>
  </si>
  <si>
    <t>MKF지수</t>
  </si>
  <si>
    <t>E2000 ← E2011</t>
  </si>
  <si>
    <t>E2000</t>
  </si>
  <si>
    <t>MKF 지수(앤환율적용)</t>
  </si>
  <si>
    <t>O9000 ← O9011</t>
    <phoneticPr fontId="27" type="noConversion"/>
  </si>
  <si>
    <t>O9000</t>
  </si>
  <si>
    <t>해외지수ETF대상지수(종가)</t>
  </si>
  <si>
    <t>M3000 ← M3011</t>
  </si>
  <si>
    <t>M3000</t>
  </si>
  <si>
    <t>해외지수(MSCI KOREA 지수)</t>
  </si>
  <si>
    <t>O5000 ← O5019</t>
  </si>
  <si>
    <t>O5000</t>
  </si>
  <si>
    <t>와이즈에프엔지수</t>
  </si>
  <si>
    <t>P3000 ← P3011</t>
  </si>
  <si>
    <t>P3000</t>
  </si>
  <si>
    <t>MKF채권지수</t>
  </si>
  <si>
    <t>K0000 ← K0017</t>
  </si>
  <si>
    <t>OTCB</t>
  </si>
  <si>
    <t>K0000</t>
  </si>
  <si>
    <t>MKF채권지수 구성종목정보</t>
  </si>
  <si>
    <t>K7077 ← K7017</t>
  </si>
  <si>
    <t>K7077</t>
  </si>
  <si>
    <t>한경채권지수</t>
  </si>
  <si>
    <t>K6000 ← K6017</t>
  </si>
  <si>
    <t>K6000</t>
  </si>
  <si>
    <t>KIS채권지수</t>
  </si>
  <si>
    <t>L6000 ← L6077</t>
  </si>
  <si>
    <t>L6000</t>
  </si>
  <si>
    <t>KIS채권지수 구성종목정보</t>
  </si>
  <si>
    <t>L7077</t>
  </si>
  <si>
    <t>KABI지수</t>
  </si>
  <si>
    <t>Q6000 ← Q6077</t>
  </si>
  <si>
    <t>Q6000</t>
  </si>
  <si>
    <t>KABI지수 구성종목정보</t>
  </si>
  <si>
    <t>Q7077</t>
  </si>
  <si>
    <t>K-OTC 호가</t>
  </si>
  <si>
    <t>A2013</t>
  </si>
  <si>
    <t>K-OTC 체결</t>
  </si>
  <si>
    <t>A3013</t>
  </si>
  <si>
    <t>K-OTC 종목마감</t>
  </si>
  <si>
    <t>A6013</t>
  </si>
  <si>
    <t>K-OTC 장운영</t>
  </si>
  <si>
    <t>A7013</t>
  </si>
  <si>
    <t>K-OTC 종목배치</t>
  </si>
  <si>
    <t>A0013</t>
  </si>
  <si>
    <t>K-OTC 공시배치</t>
  </si>
  <si>
    <t>E9013</t>
  </si>
  <si>
    <t>K-OTC 공시</t>
  </si>
  <si>
    <t>F0013</t>
  </si>
  <si>
    <t>K-OTC 시장조치</t>
  </si>
  <si>
    <t>G5013</t>
  </si>
  <si>
    <t>장외채권 수익률 - 최종호가 수익률</t>
  </si>
  <si>
    <t>J5077</t>
  </si>
  <si>
    <t>J5077_01</t>
  </si>
  <si>
    <t>장외채권 수익률 - 전문딜러 최종호가</t>
  </si>
  <si>
    <t>J5077_03</t>
  </si>
  <si>
    <t>장외채권 거래내역</t>
  </si>
  <si>
    <t>J6077</t>
  </si>
  <si>
    <t>K-BOND</t>
  </si>
  <si>
    <t>L9077</t>
  </si>
  <si>
    <t>장외채권 종목별투자자</t>
  </si>
  <si>
    <t>C1077</t>
  </si>
  <si>
    <t>장외채권 투자기관별 유통</t>
  </si>
  <si>
    <t>J7077</t>
  </si>
  <si>
    <t>채권 IDB 정보-내고가능호가</t>
  </si>
  <si>
    <t>J8077</t>
  </si>
  <si>
    <t>J8077_NH0</t>
  </si>
  <si>
    <t>채권 IDB 정보-시세</t>
  </si>
  <si>
    <t>J8077_SI0</t>
  </si>
  <si>
    <t>채권 IDB 정보-호가</t>
  </si>
  <si>
    <t>J8077_HO0</t>
  </si>
  <si>
    <t>채권 IDB 정보-결제일정보</t>
    <phoneticPr fontId="27" type="noConversion"/>
  </si>
  <si>
    <t>J8077_DT0</t>
    <phoneticPr fontId="27" type="noConversion"/>
  </si>
  <si>
    <t>채권 IDB 정보-체결</t>
    <phoneticPr fontId="27" type="noConversion"/>
  </si>
  <si>
    <t>J8077_CH0</t>
    <phoneticPr fontId="27" type="noConversion"/>
  </si>
  <si>
    <t>채권 IDB 정보 개시</t>
    <phoneticPr fontId="27" type="noConversion"/>
  </si>
  <si>
    <t>J8077_BG0</t>
    <phoneticPr fontId="27" type="noConversion"/>
  </si>
  <si>
    <t>채권 IDB 정보 마감</t>
    <phoneticPr fontId="27" type="noConversion"/>
  </si>
  <si>
    <t>J8077_ED0</t>
    <phoneticPr fontId="27" type="noConversion"/>
  </si>
  <si>
    <t>돈육대표가격 지수</t>
  </si>
  <si>
    <t>H8000 ← H8016,H8996</t>
  </si>
  <si>
    <t>DRV</t>
    <phoneticPr fontId="27" type="noConversion"/>
  </si>
  <si>
    <t>H8000_D</t>
  </si>
  <si>
    <t>돈육실시간가격지수</t>
  </si>
  <si>
    <t>H8000_L</t>
  </si>
  <si>
    <t>돈육마감가격지수</t>
  </si>
  <si>
    <t>H8000_E</t>
  </si>
  <si>
    <t>인터페이스ID</t>
  </si>
  <si>
    <t>인터페이스명</t>
  </si>
  <si>
    <t xml:space="preserve">  순번  </t>
  </si>
  <si>
    <t>항목명</t>
  </si>
  <si>
    <t>소수점 이하
자릿수</t>
    <phoneticPr fontId="27" type="noConversion"/>
  </si>
  <si>
    <t>Data
Type</t>
  </si>
  <si>
    <t xml:space="preserve"> 길이  </t>
  </si>
  <si>
    <t>누적
길이</t>
    <phoneticPr fontId="27" type="noConversion"/>
  </si>
  <si>
    <t>정의</t>
  </si>
  <si>
    <t>데이터구분값</t>
  </si>
  <si>
    <t>String</t>
  </si>
  <si>
    <t>정보분배 데이터를 식별하는 구분 코드값 (I2)</t>
  </si>
  <si>
    <t>IFMIDIP1000</t>
  </si>
  <si>
    <t>정보구분값</t>
  </si>
  <si>
    <t>정보분배에서 분배하는 정보의 구분 코드값 (000)</t>
  </si>
  <si>
    <t>1분단위시각</t>
  </si>
  <si>
    <t>9(4)</t>
  </si>
  <si>
    <t>정보분배메세지종료키워드</t>
  </si>
  <si>
    <t>메세지의 마지막을 식별하는 문자 (%HFF)</t>
  </si>
  <si>
    <t>외국인 종목별투자정보(확정치)</t>
  </si>
  <si>
    <t>정보분배 데이터를 식별하는 구분 코드값 (F1)</t>
  </si>
  <si>
    <t>정보구분값</t>
    <phoneticPr fontId="27" type="noConversion"/>
  </si>
  <si>
    <r>
      <t xml:space="preserve">01S:유가증권 01Q:코스닥 01X:코넥스 013:K-OTC </t>
    </r>
    <r>
      <rPr>
        <b/>
        <sz val="8"/>
        <color rgb="FF000000"/>
        <rFont val="맑은 고딕"/>
        <family val="3"/>
        <charset val="129"/>
      </rPr>
      <t>00B:채권</t>
    </r>
    <phoneticPr fontId="27" type="noConversion"/>
  </si>
  <si>
    <t>종목코드</t>
  </si>
  <si>
    <t>표준코드</t>
  </si>
  <si>
    <t>일련번호</t>
  </si>
  <si>
    <t>Long</t>
  </si>
  <si>
    <t>1~99999999 건수체크용</t>
  </si>
  <si>
    <t>매매일자</t>
  </si>
  <si>
    <t>YYYYMMDD</t>
  </si>
  <si>
    <t>종목한도비율</t>
  </si>
  <si>
    <t>Double</t>
  </si>
  <si>
    <t>9V9999 (예:15%일때 → 01500으로 전송)</t>
  </si>
  <si>
    <t>개인한도비율</t>
  </si>
  <si>
    <t>상장주식수</t>
  </si>
  <si>
    <t>단위:주</t>
  </si>
  <si>
    <t>주문가능수량</t>
  </si>
  <si>
    <t>한도소진구분</t>
  </si>
  <si>
    <t>0:정상 1:한도소진 2:한도종목신규지정 3:한도종목해지</t>
  </si>
  <si>
    <t>FILLER</t>
  </si>
  <si>
    <t>SPACE</t>
  </si>
  <si>
    <t>외국인 주문가능수량</t>
  </si>
  <si>
    <t>정보분배 데이터를 식별하는 구분 코드값 (F2)</t>
  </si>
  <si>
    <t>단위:주(양수만 존재)</t>
  </si>
  <si>
    <t>데이터종류</t>
  </si>
  <si>
    <t>01:주문가능수량(실시간) 07:잠정치주문가능수량(종가)</t>
  </si>
  <si>
    <t>F301S</t>
    <phoneticPr fontId="27" type="noConversion"/>
  </si>
  <si>
    <t>외국인 예비주문지정/해지</t>
  </si>
  <si>
    <t>정보분배 데이터를 식별하는 구분 코드값 (F3)</t>
  </si>
  <si>
    <t>01:예비주문지정 02:예비주문해지</t>
  </si>
  <si>
    <t>처리구분</t>
  </si>
  <si>
    <t>1:정상 2:취소</t>
  </si>
  <si>
    <t>예비주문일자</t>
  </si>
  <si>
    <t>예비주문시작시간</t>
  </si>
  <si>
    <t>HHMM</t>
  </si>
  <si>
    <t>예비주문종료시간</t>
  </si>
  <si>
    <t>외국인 확정치데이터재전송</t>
  </si>
  <si>
    <t>정보분배 데이터를 식별하는 구분 코드값 (F4)</t>
  </si>
  <si>
    <t>0:정상 1:한도초과 2:추가 3:삭제</t>
  </si>
  <si>
    <t>외국인 한도소진장외매매</t>
  </si>
  <si>
    <t>정보분배 데이터를 식별하는 구분 코드값 (F5)</t>
  </si>
  <si>
    <t>구분</t>
  </si>
  <si>
    <t>1:단가입력 2:단가취소</t>
  </si>
  <si>
    <t>수량</t>
  </si>
  <si>
    <t>가격</t>
  </si>
  <si>
    <t>단위:원</t>
  </si>
  <si>
    <t>처리시간</t>
  </si>
  <si>
    <t>HHMMSSMM</t>
  </si>
  <si>
    <t>외국인 매매/결제현황</t>
  </si>
  <si>
    <t>정보분배 데이터를 식별하는 구분 코드값 (F6)</t>
  </si>
  <si>
    <t>01S:유가증권 01Q:코스닥 01X:코넥스</t>
    <phoneticPr fontId="27" type="noConversion"/>
  </si>
  <si>
    <t>F601S</t>
    <phoneticPr fontId="27" type="noConversion"/>
  </si>
  <si>
    <t>외국인 매매/결제현황</t>
    <phoneticPr fontId="27" type="noConversion"/>
  </si>
  <si>
    <t>구분</t>
    <phoneticPr fontId="27" type="noConversion"/>
  </si>
  <si>
    <t>2:거래소매매현황
3:거래소결제현황
9:코스닥매매현황
0:코스닥결제현황
5:코넥스매매현황
6:코넥스결제현황</t>
    <phoneticPr fontId="27" type="noConversion"/>
  </si>
  <si>
    <t>총매수수량</t>
  </si>
  <si>
    <t>총매수금액</t>
  </si>
  <si>
    <t>총매도수량</t>
  </si>
  <si>
    <t>총매도금액</t>
  </si>
  <si>
    <t>순매수수량부호</t>
  </si>
  <si>
    <t>"+":양수 "-":음수</t>
  </si>
  <si>
    <t>순매수수량</t>
  </si>
  <si>
    <t>순매수금액부호</t>
  </si>
  <si>
    <t>순매수금액</t>
  </si>
  <si>
    <t>M803S</t>
    <phoneticPr fontId="27" type="noConversion"/>
  </si>
  <si>
    <t>정보분배 데이터를 식별하는 구분 코드값 (M8)</t>
  </si>
  <si>
    <t>ETF_운용사정보</t>
  </si>
  <si>
    <t>03S:ETF</t>
    <phoneticPr fontId="27" type="noConversion"/>
  </si>
  <si>
    <t>표준코드(ETF종목코드)</t>
    <phoneticPr fontId="27" type="noConversion"/>
  </si>
  <si>
    <t>00000001~99999999 건수체크용</t>
  </si>
  <si>
    <t>사무수탁 회사번호</t>
  </si>
  <si>
    <t>'903'한국예탁결제원,'049'미래에셋펀드서비스</t>
  </si>
  <si>
    <t>운용사코드</t>
  </si>
  <si>
    <t>운용사 한글약명</t>
  </si>
  <si>
    <t>운용사 영문약명</t>
  </si>
  <si>
    <t>N803S</t>
    <phoneticPr fontId="27" type="noConversion"/>
  </si>
  <si>
    <t>정보분배 데이터를 식별하는 구분 코드값 (N8)</t>
  </si>
  <si>
    <t>ETF유통주식수</t>
  </si>
  <si>
    <t>Long</t>
    <phoneticPr fontId="27" type="noConversion"/>
  </si>
  <si>
    <t/>
  </si>
  <si>
    <t>ETF유통순자산총액</t>
  </si>
  <si>
    <t>ETF순자산총액</t>
  </si>
  <si>
    <t>ETF최종순자산가치</t>
  </si>
  <si>
    <t>9(7)V9(2) 직전영업일자의 최종NAV</t>
  </si>
  <si>
    <t>ETF외화유통순자산총액</t>
  </si>
  <si>
    <t>ETF외화순자산총액</t>
  </si>
  <si>
    <t>ETF외화최종순자산가치</t>
  </si>
  <si>
    <t>9(7)V9(2)</t>
  </si>
  <si>
    <t>ETF CU수량</t>
  </si>
  <si>
    <t>단위:증권</t>
  </si>
  <si>
    <t>전일과표기준가격</t>
  </si>
  <si>
    <t>9999999V99</t>
  </si>
  <si>
    <t>전일배당전과표기준가격</t>
  </si>
  <si>
    <t>전일현금배당금액</t>
  </si>
  <si>
    <t>9999999999V99</t>
  </si>
  <si>
    <t>전전일과표기준가격</t>
  </si>
  <si>
    <t>ETF 사무수탁배치</t>
    <phoneticPr fontId="27" type="noConversion"/>
  </si>
  <si>
    <t>해외주식전일비과세과표기준가</t>
  </si>
  <si>
    <t xml:space="preserve">9999999V99 </t>
  </si>
  <si>
    <t>해외주식전일비과세배당전과표기준가</t>
  </si>
  <si>
    <t>해외주식비과세전전일과표기준가</t>
  </si>
  <si>
    <t>정보분배 데이터를 식별하는 구분 코드값 (BV)</t>
  </si>
  <si>
    <t>종목코드</t>
    <phoneticPr fontId="27" type="noConversion"/>
  </si>
  <si>
    <t>시간</t>
  </si>
  <si>
    <t>HHMMSS:장중 JSAM00:장종료</t>
  </si>
  <si>
    <t>전일 NAV</t>
  </si>
  <si>
    <t>장중/최종 NAV</t>
  </si>
  <si>
    <t>정보분배 데이터를 식별하는 구분 코드값 (BW)</t>
  </si>
  <si>
    <t>HHMMSS:08:30~09:00(PREJJJ) 14:50~15:00(JUNJJJ)</t>
  </si>
  <si>
    <t>F803S</t>
    <phoneticPr fontId="27" type="noConversion"/>
  </si>
  <si>
    <t>정보분배 데이터를 식별하는 구분 코드값 (F8)</t>
  </si>
  <si>
    <t>데이터 일련번호</t>
  </si>
  <si>
    <t>전송일련번호</t>
  </si>
  <si>
    <t>일자</t>
  </si>
  <si>
    <t>YYYYMMDD(적용일자)</t>
  </si>
  <si>
    <t>사무수탁회사번호</t>
  </si>
  <si>
    <t>구성종목수</t>
  </si>
  <si>
    <t>단위:종목(현금을 포함)</t>
  </si>
  <si>
    <t>구성종목코드</t>
  </si>
  <si>
    <t>KRD010010001 : 원화현금
상장선물일 경우 ISIN코드, 비상장일 경우는 별도 정의 : 선물
CP 추가 : KRZ + 9자리 2015.03.03
FXFWD0000USD : 외국환포워드(USD). 종목코드 마지막 3자리는 통화코드
FXFWD0000JPY : 외국환포워드(JPY). 종목코드 마지막 3자리는 통화코드 
FXFWD0000EUR : 외국환포워드(EUR). 종목코드 마지막 3자리는 통화코드
FXFWD0000GBP : 외국환포워드(GBP). 종목코드 마지막 3자리는 통화코드
* 기타 통화 사용시 :FXFWD0000 +통화코드3자리
SWAP00000001 :스왑
SWAP00000002 :스왑(현대증권)
SWAP00000003 :스왑(대신증권)
SWAP00000004 :스왑(우리투자증권)
SWAP00000005 :스왑(대우증권)
CASH00000001 : 설정현금액 2009.07.27
KSP200T00001 : KOSPI200을 기초자산으로 하는 파생결합증권, 장외파생상품
FKSP200T0001 : F-KOSPI200을 기초자산으로 하는 파생결합증권, 장외파생상품
USDZZ0000001 : USD현금
US73936B5075 : powershares db oil fund
NYMFU000CLQ0 :WTI 선물 (wti crude f1008)
NYMFU000CLU0 :WTI 선물 (wti crude f1009)
ppscu0000001: 구리 창고증권
ppsni0000001: 니켈 창고증권
ppsal0000001: 알루미늄 창고증권
lmecu0000001: 구리 워런트
lmeni0000001: 니켈 워런트
lmeal0000001: 알루미늄 워런트</t>
    <phoneticPr fontId="27" type="noConversion"/>
  </si>
  <si>
    <t>1CU단위증권수/
계약수/원화현금</t>
  </si>
  <si>
    <t>Double</t>
    <phoneticPr fontId="27" type="noConversion"/>
  </si>
  <si>
    <t>18</t>
  </si>
  <si>
    <t>※1cu단위증권수/계약수/원화현금/usd현금/창고증권
- 구성종목코드에 따라 단위 결정
- 주식→단위:주 (첫번째 필드가 "-"일 경우 공매도)
- 원화현금,스왑,외국환포워드(2014.06.16)→단위:원 
  ※ 현금이 "-"일 경우 첫번째 필드가 "-" 
- 선물→ 단위:계약
→ 구성종목이 선물일 경우 매수포지션, 매도 포지션을 취할수 있고 매도포지션일 경우 "-"가 표시.
예) 매도포지션의 경우: -00000000000003456
매수포지션의 경우: 000000000000003456
- 9999999999999999v99로 자릿수 통합
- 구성종목코드가 us73936b5075 인경우 → 단위:주 (기존 주식과 동일)
- 종목코드가 nymfu000clq0/nymfu000clu0 인경우 → 단위:계약
- 구성종목코드가 usdzz0000001 인경우 → 단위:달러
- 창고증권 &amp; 워런트 → 단위:kg</t>
    <phoneticPr fontId="27" type="noConversion"/>
  </si>
  <si>
    <t>구성종목시장구분</t>
  </si>
  <si>
    <t>1</t>
  </si>
  <si>
    <t>0:유가증권(현금,KSP200T00001,FKSP200T0001포함)
1:코스닥 2:기타 3:채권 4:선물 및 옵션</t>
  </si>
  <si>
    <t>구성종목명</t>
  </si>
  <si>
    <t>40</t>
  </si>
  <si>
    <t>해외종목일 경우 종목명, 그 외는 '0' 또는 SPACE</t>
  </si>
  <si>
    <t>액면금액/설정현금액</t>
  </si>
  <si>
    <t>- 액면금액 : 구성종목코드가 채권,선물,스왑,공매도주식,외국환포워드 일 경우
- 설정현금액 : cu단위 설정환매시 100% 현금으로 설정이 가능한 etf의 경우 그 금액을 표시
- etf코드 기준으로 발생하며, 기존의 주가지수 etf, 해외지수 etf에는 미적용
예) 금etf의 경우 cu를 구성하는 파생상품을 매수하여 신규설정이 현실적으로 힘들기 때문에
100% 현금납입을 인정
- 구성종목이 선물일 경우 매수포지션, 매도포지션을 취할 수 있고 매도포지션일 경우 "-"가 표시
예) 매도포지션의 경우 : -00000034560000000
매수포지션의 경우 : 000000034560000000
- 구성종목코드가 usdzz0000001인 경우 → 단위: 원 (usd현금을 원화로 환산한 금액이 들어감)
- 창고증권일 경우 원화평가금액 표시</t>
    <phoneticPr fontId="27" type="noConversion"/>
  </si>
  <si>
    <t>이익분배기준일</t>
  </si>
  <si>
    <t>채권 etf 경우에 한정. 해당 etf에서 실질적으로 이익분배가 발생하는 일자
특정일자의 동일 etf코드에 대하여 모두 동일한 값을 가짐
default : space or "0", yyyymmdd</t>
    <phoneticPr fontId="27" type="noConversion"/>
  </si>
  <si>
    <t>평가금액</t>
  </si>
  <si>
    <t xml:space="preserve">PDF내 종목별 비중 산출 기초data </t>
  </si>
  <si>
    <t>P603S</t>
    <phoneticPr fontId="27" type="noConversion"/>
  </si>
  <si>
    <t>정보분배 데이터를 식별하는 구분 코드값 (P6)</t>
  </si>
  <si>
    <t>1~99999999 전송일련번호,건수체크용</t>
  </si>
  <si>
    <t>YYYYMMDD:전영업일자</t>
  </si>
  <si>
    <t>추적오차율</t>
  </si>
  <si>
    <t>9(7)V9(2), 단위:%</t>
  </si>
  <si>
    <t>괴리율부호</t>
  </si>
  <si>
    <t>SPACE:괴리율=0 "+":괴리율&gt;0 "-":괴리율&lt;0</t>
  </si>
  <si>
    <t>괴리율</t>
  </si>
  <si>
    <t>Q403S</t>
    <phoneticPr fontId="27" type="noConversion"/>
  </si>
  <si>
    <t>정보분배 데이터를 식별하는 구분 코드값 (Q4)</t>
  </si>
  <si>
    <t>1~99999999 전송일련번호, 건수체크용</t>
  </si>
  <si>
    <t>거래상대방명</t>
  </si>
  <si>
    <t>장외파생상품유형</t>
  </si>
  <si>
    <t>0:자금공여형  1:자금비공여형</t>
  </si>
  <si>
    <t>순자산총액</t>
  </si>
  <si>
    <t>총위험노출액</t>
  </si>
  <si>
    <t>담보평가액</t>
  </si>
  <si>
    <t>담보비율</t>
  </si>
  <si>
    <t>99999V99 단위:%</t>
  </si>
  <si>
    <t>위험평가액</t>
  </si>
  <si>
    <t>위험평가액비율</t>
  </si>
  <si>
    <t xml:space="preserve">99999V99 단위:% </t>
  </si>
  <si>
    <t>Q503S</t>
    <phoneticPr fontId="27" type="noConversion"/>
  </si>
  <si>
    <t>정보분배 데이터를 식별하는 구분 코드값 (Q5)</t>
  </si>
  <si>
    <t>단위:종목(현금포함)</t>
  </si>
  <si>
    <t>표준코드, 해외종목일 경우 '0' 또는 SPACE로 Setting될 수 있음</t>
  </si>
  <si>
    <t>종목명</t>
  </si>
  <si>
    <t>구성비</t>
  </si>
  <si>
    <t>지수내 구성비, 99999V99  단위:%</t>
  </si>
  <si>
    <t>S104S</t>
    <phoneticPr fontId="27" type="noConversion"/>
  </si>
  <si>
    <t>ETN 사무수탁정보</t>
  </si>
  <si>
    <t>정보분배 데이터를 식별하는 구분 코드값 (S1)</t>
  </si>
  <si>
    <t>04S:ETN</t>
    <phoneticPr fontId="27" type="noConversion"/>
  </si>
  <si>
    <t>표준코드(ETN종목코드)</t>
    <phoneticPr fontId="27" type="noConversion"/>
  </si>
  <si>
    <t>최종지표가치</t>
  </si>
  <si>
    <t>9999999V99 직전영업일자의 최종 IV,단위:원</t>
  </si>
  <si>
    <t>지표가치금액</t>
  </si>
  <si>
    <t>전전일가격과표기준가격</t>
  </si>
  <si>
    <t>변동성선물구분</t>
  </si>
  <si>
    <t>0:변동성선물ETN 1:기타</t>
  </si>
  <si>
    <t>중도상환청구최소수량</t>
  </si>
  <si>
    <t>중도상환수수료율</t>
  </si>
  <si>
    <t>99V99999999 단위:%</t>
  </si>
  <si>
    <t>제비용</t>
  </si>
  <si>
    <t>9999999V99 단위:원</t>
  </si>
  <si>
    <t>S204S</t>
    <phoneticPr fontId="27" type="noConversion"/>
  </si>
  <si>
    <t>정보분배 데이터를 식별하는 구분 코드값 (S2)</t>
  </si>
  <si>
    <t>표준코드 해외종목일 경우 '0' 또는 SPACE로 Setting될 수 있음</t>
  </si>
  <si>
    <t>지수내 구성비 99999V99 단위:%</t>
  </si>
  <si>
    <t>정보분배 데이터를 식별하는 구분 코드값 (X4)</t>
  </si>
  <si>
    <t>송신일련번호</t>
  </si>
  <si>
    <t>SPACE:0, '+':&gt;0, '-':&lt;0</t>
  </si>
  <si>
    <t>S304S</t>
    <phoneticPr fontId="27" type="noConversion"/>
  </si>
  <si>
    <t>정보분배 데이터를 식별하는 구분 코드값 (S3)</t>
  </si>
  <si>
    <t>HHMMSS:장중 JUNJJJ:장마감</t>
  </si>
  <si>
    <t>전일 IV</t>
  </si>
  <si>
    <t>장중/최종 IV</t>
  </si>
  <si>
    <t>정보분배 데이터를 식별하는 구분 코드값 (L5)</t>
  </si>
  <si>
    <t>28</t>
  </si>
  <si>
    <t>P703S</t>
    <phoneticPr fontId="27" type="noConversion"/>
  </si>
  <si>
    <t>정보분배 데이터를 식별하는 구분 코드값 (P7)</t>
  </si>
  <si>
    <t>ETF종목코드</t>
    <phoneticPr fontId="27" type="noConversion"/>
  </si>
  <si>
    <t>L9077</t>
    <phoneticPr fontId="27" type="noConversion"/>
  </si>
  <si>
    <t>K-BOND (구 프리본드)</t>
  </si>
  <si>
    <t>정보분배 데이터를 식별하는 구분 코드값 (L9)</t>
  </si>
  <si>
    <t>077:장외채권</t>
    <phoneticPr fontId="27" type="noConversion"/>
  </si>
  <si>
    <t>거래 채권 종목코드</t>
  </si>
  <si>
    <t>DATA소구분</t>
  </si>
  <si>
    <t>H1:호가체결정보 H2:호가체결변경내역</t>
  </si>
  <si>
    <t>정보원구분 SPACE 2011.08.29 부터 FILLER처리</t>
  </si>
  <si>
    <t>원일련번호</t>
  </si>
  <si>
    <t>H1 정보일 경우 : 00000000</t>
  </si>
  <si>
    <t>교체구분</t>
  </si>
  <si>
    <t>0:일반주문, 1:교체주문</t>
  </si>
  <si>
    <t>교체원일련번호</t>
  </si>
  <si>
    <t>교체주문의 2번째 시세가 아닐 경우 : 00000000</t>
  </si>
  <si>
    <t>입력일자</t>
  </si>
  <si>
    <t>호가제시시간</t>
  </si>
  <si>
    <t>호가 발생시간(HHMMSS)</t>
  </si>
  <si>
    <t>채권 종목명</t>
  </si>
  <si>
    <t>거래채권 종목명</t>
  </si>
  <si>
    <t>1:신규, 2:수정, 3:삭제</t>
  </si>
  <si>
    <t>시세구분</t>
  </si>
  <si>
    <t>1:수익률, 2:가격</t>
  </si>
  <si>
    <t>수익률(호가/체결)</t>
  </si>
  <si>
    <t>999V99999 (-수익률발생시 -99V99999)</t>
  </si>
  <si>
    <t>가격(호가/체결)</t>
  </si>
  <si>
    <t>99999V999</t>
  </si>
  <si>
    <t>매매구분</t>
  </si>
  <si>
    <t>1:매수, 2:매도, 3:체결</t>
  </si>
  <si>
    <t>호가수량</t>
  </si>
  <si>
    <t>원(매매구분이 매수/매도일 때만 값이 있음)</t>
  </si>
  <si>
    <t>매매일</t>
  </si>
  <si>
    <t>1:선네고, 2:T+0, 3:T+1, 4:T+2, ~ 32:T+30</t>
  </si>
  <si>
    <t>결제일</t>
  </si>
  <si>
    <t>2:T+0(당일), 3:T+1(익일), 4:T+2, ~ 32:T+30</t>
  </si>
  <si>
    <t>E2000</t>
    <phoneticPr fontId="27" type="noConversion"/>
  </si>
  <si>
    <t>정보분배 데이터를 식별하는 구분 코드값 (E2)</t>
  </si>
  <si>
    <t>000:공통</t>
    <phoneticPr fontId="27" type="noConversion"/>
  </si>
  <si>
    <t>지수ID</t>
  </si>
  <si>
    <t>※코드값모음집 참조</t>
  </si>
  <si>
    <t>표분코드</t>
  </si>
  <si>
    <t>지수산출시각</t>
  </si>
  <si>
    <t>09:01~시간외종료(18:00경)</t>
  </si>
  <si>
    <t>지수</t>
  </si>
  <si>
    <t>9(6).9(2) ←  9(6)V9(2)</t>
  </si>
  <si>
    <t>부호</t>
  </si>
  <si>
    <t>"+":상승 "-":하락 " ":보합</t>
  </si>
  <si>
    <t>대비</t>
  </si>
  <si>
    <t>999999.99 ← 999999V99</t>
  </si>
  <si>
    <t>체결수량</t>
  </si>
  <si>
    <t>단위:천주</t>
  </si>
  <si>
    <t>거래대금</t>
  </si>
  <si>
    <t>단위:백만원</t>
  </si>
  <si>
    <t>MKF지수 (앤환율 반영)</t>
  </si>
  <si>
    <t>P3000</t>
    <phoneticPr fontId="27" type="noConversion"/>
  </si>
  <si>
    <t>정보분배 데이터를 식별하는 구분 코드값 (P3)</t>
  </si>
  <si>
    <t>정보분배 데이터를 식별하는 구분 코드값 (K0)</t>
  </si>
  <si>
    <t>일련번호-&gt;FILLER     2010.11.08</t>
  </si>
  <si>
    <t>기준일자</t>
  </si>
  <si>
    <t>기준시각</t>
  </si>
  <si>
    <t>HHMMSS(종가지수일 경우 : JUNJJJ)</t>
  </si>
  <si>
    <t>총수익지수</t>
  </si>
  <si>
    <t>9(6)V9(4)</t>
  </si>
  <si>
    <t>클린가격지수</t>
  </si>
  <si>
    <t>시장가격지수</t>
  </si>
  <si>
    <t>Call 재투자지수</t>
  </si>
  <si>
    <t>Zero 재투자지수</t>
  </si>
  <si>
    <t>선물이론가격</t>
  </si>
  <si>
    <t>평균듀레이션</t>
  </si>
  <si>
    <t>9(3)V9(3)</t>
  </si>
  <si>
    <t>평균컨벡서티</t>
  </si>
  <si>
    <t>평균YTM</t>
  </si>
  <si>
    <t>9(3)V9(3) (%)</t>
  </si>
  <si>
    <t>평균선도YTM</t>
  </si>
  <si>
    <t>정보분배 데이터를 식별하는 구분 코드값 (K6)</t>
  </si>
  <si>
    <t>KIS채권지수</t>
    <phoneticPr fontId="27" type="noConversion"/>
  </si>
  <si>
    <t>정보분배 데이터를 식별하는 구분 코드값 (L6)</t>
  </si>
  <si>
    <t>Q6000</t>
    <phoneticPr fontId="27" type="noConversion"/>
  </si>
  <si>
    <t>KABI지수</t>
    <phoneticPr fontId="27" type="noConversion"/>
  </si>
  <si>
    <t>정보분배 데이터를 식별하는 구분 코드값 (Q6)</t>
  </si>
  <si>
    <t>9(6)V9(4)</t>
    <phoneticPr fontId="27" type="noConversion"/>
  </si>
  <si>
    <t>MKF채권지수 구성종목정보</t>
    <phoneticPr fontId="27" type="noConversion"/>
  </si>
  <si>
    <t>정보분배 데이터를 식별하는 구분 코드값 (K7)</t>
  </si>
  <si>
    <t>※코드값모음 참조</t>
  </si>
  <si>
    <t>기준가격(평가가격)</t>
  </si>
  <si>
    <t>9(7)V9(2) 단위:원</t>
  </si>
  <si>
    <t>클린가격</t>
  </si>
  <si>
    <t>(확정)YTM</t>
  </si>
  <si>
    <t>지수편입여부</t>
  </si>
  <si>
    <t>1:지수편입종목 0:지수에 편입되지 않으나 ETF에 편입된 종목</t>
  </si>
  <si>
    <t>KIS채권지수 구성종목정보</t>
    <phoneticPr fontId="27" type="noConversion"/>
  </si>
  <si>
    <t>정보분배 데이터를 식별하는 구분 코드값 (L7)</t>
  </si>
  <si>
    <t>Q7077</t>
    <phoneticPr fontId="27" type="noConversion"/>
  </si>
  <si>
    <t>KABI지수 구성종목정보</t>
    <phoneticPr fontId="27" type="noConversion"/>
  </si>
  <si>
    <t>정보분배 데이터를 식별하는 구분 코드값 (Q7)</t>
  </si>
  <si>
    <t>M3000</t>
    <phoneticPr fontId="27" type="noConversion"/>
  </si>
  <si>
    <t>정보분배 데이터를 식별하는 구분 코드값 (M3)</t>
  </si>
  <si>
    <t>현지영업일 ※최종 수신데이터 전송, 전일 데이터와 중복가능</t>
  </si>
  <si>
    <t>심볼코드</t>
  </si>
  <si>
    <t>9999999V999, Excess Return(ER)</t>
  </si>
  <si>
    <t>9999999V999, Total Retrun(TR)    2011.04.01 신규</t>
  </si>
  <si>
    <t>종가</t>
  </si>
  <si>
    <t>9999999V999, Close Price(Spot)   2011.04.01 신규</t>
  </si>
  <si>
    <t>O5000</t>
    <phoneticPr fontId="27" type="noConversion"/>
  </si>
  <si>
    <t>정보분배 데이터를 식별하는 구분 코드값 (O5)</t>
  </si>
  <si>
    <t>160235 : MSCI Korea Index</t>
    <phoneticPr fontId="27" type="noConversion"/>
  </si>
  <si>
    <t>SPACE</t>
    <phoneticPr fontId="27" type="noConversion"/>
  </si>
  <si>
    <t>HHMMSS</t>
    <phoneticPr fontId="27" type="noConversion"/>
  </si>
  <si>
    <t>단위:천주 ※해외주가지수일 경우 FILLER처리</t>
    <phoneticPr fontId="27" type="noConversion"/>
  </si>
  <si>
    <t>단위:백만원 ※해외주가지수일 경우 FILLER처리</t>
  </si>
  <si>
    <t>정보분배 데이터를 식별하는 구분 코드값 (C7)</t>
  </si>
  <si>
    <t>02S:ELW</t>
    <phoneticPr fontId="27" type="noConversion"/>
  </si>
  <si>
    <t>산출시간</t>
  </si>
  <si>
    <t>장중:HHMMSS(시간:분:초) 090000 ~ 장종료:JUNJJJ</t>
  </si>
  <si>
    <t>표준이론가</t>
  </si>
  <si>
    <t>9(8)9V9(2)</t>
  </si>
  <si>
    <t>민감도 - 델타부호</t>
  </si>
  <si>
    <t>"+", "-", " "</t>
  </si>
  <si>
    <t>민감도 - 델타</t>
  </si>
  <si>
    <t>9V9(6)</t>
  </si>
  <si>
    <t>민감도 - 감마부호</t>
  </si>
  <si>
    <t xml:space="preserve">"+", "-", " " </t>
  </si>
  <si>
    <t>민감도 - 감마</t>
  </si>
  <si>
    <t>민감도 - 세타부호</t>
  </si>
  <si>
    <t>민감도 - 세타</t>
  </si>
  <si>
    <t>9(6)V9(6)</t>
  </si>
  <si>
    <t>민감도 - 베가부호</t>
  </si>
  <si>
    <t>민감도 - 베가</t>
  </si>
  <si>
    <t>민감도 - 로부호</t>
  </si>
  <si>
    <t>민감도 - 로</t>
  </si>
  <si>
    <t>내재변동성</t>
  </si>
  <si>
    <t>9(3)V9(2) 조기종료ELW의 경우 0</t>
  </si>
  <si>
    <t>제반비용</t>
  </si>
  <si>
    <t>9(8)V9(2) 표준ELW의 경우 0</t>
  </si>
  <si>
    <t>N302S</t>
    <phoneticPr fontId="27" type="noConversion"/>
  </si>
  <si>
    <t>정보분배 데이터를 식별하는 구분 코드값 (N3)</t>
  </si>
  <si>
    <t>OCCURS 50</t>
  </si>
  <si>
    <t>(12+5)*50  OCCURS 50</t>
  </si>
  <si>
    <t>표준코드 12 바이트</t>
  </si>
  <si>
    <t>9(3)V9(2). 5바이트</t>
  </si>
  <si>
    <t>A0013</t>
    <phoneticPr fontId="27" type="noConversion"/>
  </si>
  <si>
    <t>정보분배 데이터를 식별하는 구분 코드값 (A0)</t>
  </si>
  <si>
    <t>013:K-OTC</t>
    <phoneticPr fontId="27" type="noConversion"/>
  </si>
  <si>
    <t>단축코드</t>
  </si>
  <si>
    <t>왼쪽정렬((예)주식 6→7, 나머지 SPACE 처리)</t>
  </si>
  <si>
    <t>처리일자</t>
  </si>
  <si>
    <t>영업일자 (YYYYMMDD)</t>
  </si>
  <si>
    <t>한글종목명</t>
  </si>
  <si>
    <t>영문약명</t>
  </si>
  <si>
    <t>영문종목명</t>
  </si>
  <si>
    <t>종목명(한글약명)</t>
  </si>
  <si>
    <t>종목일련번호</t>
  </si>
  <si>
    <t>종목구분</t>
  </si>
  <si>
    <t>0:정상 1:신규 2:추가</t>
  </si>
  <si>
    <t>중소중견기업여부</t>
  </si>
  <si>
    <t>4:중소기업 5:중견기업 6중소중견비해당 7:미확인</t>
  </si>
  <si>
    <t>표준산업업종코드</t>
  </si>
  <si>
    <t>매매기준가</t>
  </si>
  <si>
    <t>가중평균주가, 락발생시 ‘매매기준가’ SET
기세시는 '기세가격' SET
SIZE변경(7→9) 2016.02.01</t>
  </si>
  <si>
    <t>전일종가</t>
  </si>
  <si>
    <t>전일가중평균주가</t>
  </si>
  <si>
    <t>발행주식수</t>
  </si>
  <si>
    <t>액면가</t>
  </si>
  <si>
    <t>결산월</t>
  </si>
  <si>
    <t>MM</t>
  </si>
  <si>
    <t>결산구분</t>
  </si>
  <si>
    <t>0:보통주병합(1-4) 5:1우선주병합 6:2우선주병합</t>
  </si>
  <si>
    <t>PER</t>
  </si>
  <si>
    <t>9999V99</t>
  </si>
  <si>
    <t>EPS</t>
  </si>
  <si>
    <t>거래정지여부</t>
  </si>
  <si>
    <t>0:정상 1:정지</t>
  </si>
  <si>
    <t>거래정지사유</t>
  </si>
  <si>
    <t>락구분</t>
  </si>
  <si>
    <t>0:정상 1:권리락 2:액면분할 3:액면병합 4:감자 5:병합
6:배당락</t>
  </si>
  <si>
    <t>등록신청사</t>
  </si>
  <si>
    <t>항목명(ASIS 지정신청사)</t>
  </si>
  <si>
    <t>매매개시일</t>
  </si>
  <si>
    <t>해제구분</t>
  </si>
  <si>
    <t>항목명 변경(ASIS 취소구분)
0:정상 1:구주병합에 의한 해제2:지정 및 등록해제
(ASIS 0:정상 1:신구주병합에 의한 취소 2:지정취소)</t>
  </si>
  <si>
    <t>연중최고가</t>
  </si>
  <si>
    <t>연중최저가</t>
  </si>
  <si>
    <t>연중최고일</t>
  </si>
  <si>
    <t>MMDD</t>
  </si>
  <si>
    <t>연중최저일</t>
  </si>
  <si>
    <t>연누적거래량</t>
  </si>
  <si>
    <t>연누적 거래 대금</t>
  </si>
  <si>
    <t>공모구분</t>
  </si>
  <si>
    <t>0:비공모, 1:공모</t>
  </si>
  <si>
    <t>공모가</t>
  </si>
  <si>
    <t>소속부 구분</t>
  </si>
  <si>
    <t>4:등록기업부,5:지정기업부
(ASIS 0:일반기업부, 1:벤처기업부)</t>
  </si>
  <si>
    <t>등록/지정유형</t>
  </si>
  <si>
    <t>-항목명 변경(ASIS 지정유형)
-값 추가
 0:일반지정 1:코스닥이관 2:유가시장이관 3:코넥스이관
 (ASIS 0:일반지정 1:코스닥이관 2:거래소이관)</t>
  </si>
  <si>
    <t>전일거래량</t>
  </si>
  <si>
    <t>상한가</t>
  </si>
  <si>
    <t>하한가</t>
  </si>
  <si>
    <t>불성실공시</t>
  </si>
  <si>
    <t>0:정상 1~5:불성실공시 1회~5회</t>
  </si>
  <si>
    <t>불성실공시 지정일1</t>
  </si>
  <si>
    <t>불성실공시 만료일1</t>
  </si>
  <si>
    <t>불성실공시 지정일2</t>
  </si>
  <si>
    <t>불성실공시 만료일2</t>
  </si>
  <si>
    <t>불성실공시 지정일3</t>
  </si>
  <si>
    <t>불성실공시 만료일3</t>
  </si>
  <si>
    <t>불성실공시 지정일4</t>
  </si>
  <si>
    <t>불성실공시 만료일4</t>
  </si>
  <si>
    <t>불성실공시 지정일5</t>
  </si>
  <si>
    <t>불성실공시 만료일5</t>
  </si>
  <si>
    <t>투자유의여부</t>
  </si>
  <si>
    <t>0:정상 1:투자유의</t>
  </si>
  <si>
    <t>투자유의 사유코드1</t>
  </si>
  <si>
    <t>04:거래부진(4개월),
12:불성실공시(4회이상) 
13:최근사업연도 결산기 정기공시서류 기한내 미제출
14:최근 4개 사업연도에 반기공시서류 기한내 미제출 1회이상
21:감사의견거절,22:감사의견 부적절
23:감사의견 한정,31:자본잠식
32:매출액미달,33:소액주주분산미달
34:회생절차개시 신청
35:2016년말 등록해제예정</t>
  </si>
  <si>
    <t>투자유의 지정일1</t>
  </si>
  <si>
    <t>투자유의 사유코드2</t>
  </si>
  <si>
    <t>※투자유의 사유코드1 정의 참조</t>
  </si>
  <si>
    <t>투자유의 지정일2</t>
  </si>
  <si>
    <t>투자유의 사유코드3</t>
  </si>
  <si>
    <t>투자유의 지정일3</t>
  </si>
  <si>
    <t>투자유의 사유코드4</t>
  </si>
  <si>
    <t>투자유의 지정일4</t>
  </si>
  <si>
    <t>투자유의 사유코드5</t>
  </si>
  <si>
    <t>투자유의 지정일5</t>
  </si>
  <si>
    <t>투자유의 사유코드6</t>
  </si>
  <si>
    <t>투자유의 지정일6</t>
  </si>
  <si>
    <t>투자유의 사유코드7</t>
  </si>
  <si>
    <t>투자유의 지정일7</t>
  </si>
  <si>
    <t>투자유의 사유코드8</t>
  </si>
  <si>
    <t>투자유의 지정일8</t>
  </si>
  <si>
    <t>투자유의 사유코드9</t>
  </si>
  <si>
    <t>투자유의 지정일9</t>
  </si>
  <si>
    <t>투자유의 사유코드10</t>
  </si>
  <si>
    <t>투자유의 지정일10</t>
  </si>
  <si>
    <t>투자유의 사유코드11</t>
  </si>
  <si>
    <t>투자유의 지정일11</t>
  </si>
  <si>
    <t>투자유의 사유코드12</t>
  </si>
  <si>
    <t>투자유의 지정일12</t>
  </si>
  <si>
    <t>투자유의 사유코드13</t>
  </si>
  <si>
    <t>투자유의 지정일13</t>
  </si>
  <si>
    <t>투자유의 사유코드14</t>
  </si>
  <si>
    <t>투자유의 지정일14</t>
  </si>
  <si>
    <t>투자유의 사유코드15</t>
  </si>
  <si>
    <t>투자유의 지정일15</t>
  </si>
  <si>
    <t>Filler</t>
  </si>
  <si>
    <t>시가총액규모</t>
  </si>
  <si>
    <t>지수제공시까지 SPACE
(0:제외 1:대형주 2:중형주 3:소형주)</t>
  </si>
  <si>
    <t>지수업종(대)</t>
  </si>
  <si>
    <t>지수제공시까지 SPACE</t>
  </si>
  <si>
    <t>지수업종(중)</t>
  </si>
  <si>
    <t>지수업종(소)</t>
  </si>
  <si>
    <t>벤처구분</t>
  </si>
  <si>
    <t>0:일반기업, 1:벤처기업</t>
  </si>
  <si>
    <t>기세구분</t>
  </si>
  <si>
    <t>0:실세,1:기세,2:무거래</t>
  </si>
  <si>
    <t>정리매매여부</t>
  </si>
  <si>
    <t>0:정상,1:정리매매</t>
  </si>
  <si>
    <t>A2013</t>
    <phoneticPr fontId="27" type="noConversion"/>
  </si>
  <si>
    <t>정보분배 데이터를 식별하는 구분 코드값 (A2)</t>
  </si>
  <si>
    <t>호가, 체결, 시장조치 포함한 일련번호</t>
  </si>
  <si>
    <t>1:정상 2:정정 3:취소</t>
  </si>
  <si>
    <t>호가번호</t>
  </si>
  <si>
    <t>정상 처리시 호가번호</t>
  </si>
  <si>
    <t>원호가번호</t>
  </si>
  <si>
    <t>정상:0, 정정/취소시 해당원호가 번호</t>
  </si>
  <si>
    <t>원호가가격</t>
  </si>
  <si>
    <t>정상:0, 정정/취소시 원가격</t>
  </si>
  <si>
    <t>매도/매수 구분</t>
  </si>
  <si>
    <t>1:매도 2:매수</t>
  </si>
  <si>
    <t>정상:주문가격 정정:정정가격</t>
  </si>
  <si>
    <t>정상:주문수량 정정/취소:실정정/취소 수량</t>
  </si>
  <si>
    <t>접수시각</t>
  </si>
  <si>
    <t>매도총잔량</t>
  </si>
  <si>
    <t>매수총잔량</t>
  </si>
  <si>
    <t>매도우선호가</t>
  </si>
  <si>
    <t>매도우선호가잔량</t>
  </si>
  <si>
    <t>매수우선호가</t>
  </si>
  <si>
    <t>매수우선호가잔량</t>
  </si>
  <si>
    <t>가격대호가잔량</t>
  </si>
  <si>
    <t>정상:주문잔량 정정:정정잔량</t>
  </si>
  <si>
    <t>원가격대호가잔량</t>
  </si>
  <si>
    <t>정상:0, 정정/취소시 원잔량</t>
  </si>
  <si>
    <t>증권사번호</t>
  </si>
  <si>
    <t>거래원코드 참조</t>
  </si>
  <si>
    <t>지점명</t>
  </si>
  <si>
    <t>A3013</t>
    <phoneticPr fontId="27" type="noConversion"/>
  </si>
  <si>
    <t>K-OTC 체결</t>
    <phoneticPr fontId="27" type="noConversion"/>
  </si>
  <si>
    <t>정보분배 데이터를 식별하는 구분 코드값 (A3)</t>
  </si>
  <si>
    <t>체결번호</t>
  </si>
  <si>
    <t>종목별 체결번호</t>
  </si>
  <si>
    <t>체결가</t>
  </si>
  <si>
    <t>체결량</t>
  </si>
  <si>
    <t>체결시각</t>
  </si>
  <si>
    <t>매도호가번호</t>
  </si>
  <si>
    <t>종목별 호가번호임</t>
  </si>
  <si>
    <t>매수호가번호</t>
  </si>
  <si>
    <t>고가</t>
  </si>
  <si>
    <t>저가</t>
  </si>
  <si>
    <t>가중평균주가</t>
  </si>
  <si>
    <t>전체체결누적거래량</t>
  </si>
  <si>
    <t>전체체결누적거래대금</t>
  </si>
  <si>
    <t>전일대비구분</t>
  </si>
  <si>
    <t>+:상승 -:하락 SPACE:보합</t>
  </si>
  <si>
    <t>전일대비</t>
  </si>
  <si>
    <t>체결가대매도잔량</t>
  </si>
  <si>
    <t>체결가대매수잔량</t>
  </si>
  <si>
    <t>A6013</t>
    <phoneticPr fontId="27" type="noConversion"/>
  </si>
  <si>
    <t>정보분배 데이터를 식별하는 구분 코드값 (A6)</t>
  </si>
  <si>
    <t>호가,체결,장운영 포함한 일련번호</t>
  </si>
  <si>
    <t>종목마감 가중가</t>
  </si>
  <si>
    <t>실세/기세구분</t>
  </si>
  <si>
    <t>0:가중평균가,1:기세,2:무거래</t>
  </si>
  <si>
    <t>A7013</t>
    <phoneticPr fontId="27" type="noConversion"/>
  </si>
  <si>
    <t>정보분배 데이터를 식별하는 구분 코드값 (A7)</t>
  </si>
  <si>
    <t>호가, 체결, 장운용 포함한 일련번호</t>
  </si>
  <si>
    <t>1:매매거래정지 2:매매거래정지후해제</t>
  </si>
  <si>
    <t>사유</t>
  </si>
  <si>
    <t>G5013</t>
    <phoneticPr fontId="27" type="noConversion"/>
  </si>
  <si>
    <t>정보분배 데이터를 식별하는 구분 코드값 (G5)</t>
  </si>
  <si>
    <t>데이터 분류</t>
  </si>
  <si>
    <t>01:기준가 및 상하한가 변경 02:임시정지 03:임시정지후 재개</t>
  </si>
  <si>
    <t>변경일</t>
  </si>
  <si>
    <t>YYYYMMDD(데이터분류 01이 아니면 "0")</t>
  </si>
  <si>
    <t>변경시각</t>
  </si>
  <si>
    <t>HHMMSSMM(데이터분류 01이 아니면 "0")</t>
  </si>
  <si>
    <t>조치전 기준가</t>
  </si>
  <si>
    <t>단위:원(데이터분류 01이 아니면 "0")</t>
  </si>
  <si>
    <t>조치전 상한가</t>
  </si>
  <si>
    <t>조치전 하한가</t>
  </si>
  <si>
    <t>조치후 기준가</t>
  </si>
  <si>
    <t>조치후 상한가</t>
  </si>
  <si>
    <t>조치후 하한가</t>
  </si>
  <si>
    <t>E9013</t>
    <phoneticPr fontId="27" type="noConversion"/>
  </si>
  <si>
    <t>K-OTC 공시 배치/실시간</t>
  </si>
  <si>
    <t>정보분배 데이터를 식별하는 구분 코드값 (E9:공시배치 F0:공시실시간)</t>
  </si>
  <si>
    <t>업무마감:999999999999</t>
  </si>
  <si>
    <t>공시일련번호</t>
  </si>
  <si>
    <t>000001~999999, 업무마감:999999</t>
  </si>
  <si>
    <t>등록일자</t>
  </si>
  <si>
    <t>코드값모음 참조</t>
  </si>
  <si>
    <t>라인번호</t>
  </si>
  <si>
    <t>00:제목 01~20:내용 99:END</t>
  </si>
  <si>
    <t>공시제목/내용</t>
  </si>
  <si>
    <t>J5077_01</t>
    <phoneticPr fontId="27" type="noConversion"/>
  </si>
  <si>
    <t>장외채권 수익률 - 최종호가 수익률</t>
    <phoneticPr fontId="27" type="noConversion"/>
  </si>
  <si>
    <t>정보분배 데이터를 식별하는 구분 코드값 (J5)</t>
  </si>
  <si>
    <t>부구분</t>
  </si>
  <si>
    <t>01:장외채권 최종호가수익율</t>
  </si>
  <si>
    <t>공시일자</t>
  </si>
  <si>
    <t>공시시간</t>
  </si>
  <si>
    <t>HHMMDD</t>
  </si>
  <si>
    <t>1:정상 2:정정</t>
  </si>
  <si>
    <t>입력회차</t>
  </si>
  <si>
    <t>1130:오전, 1530:오후</t>
  </si>
  <si>
    <t>공시종류구분</t>
  </si>
  <si>
    <t>10:최종호가수익률
11:CD_91일 최종호가수익률
12:CP_91일 최종호가수익률</t>
  </si>
  <si>
    <t>공시종목코드</t>
  </si>
  <si>
    <t>코드값 모음집 참조</t>
  </si>
  <si>
    <t>수익률</t>
  </si>
  <si>
    <t>999.99999 (-수익률 발생시 -99.99999)</t>
  </si>
  <si>
    <t>장외채권 수익률 - 전문딜러 최종호가</t>
    <phoneticPr fontId="27" type="noConversion"/>
  </si>
  <si>
    <t>03:전문딜러최종호가</t>
  </si>
  <si>
    <t>딜러사일련번호</t>
  </si>
  <si>
    <t>딜러사 INTERFACE 일련번호</t>
  </si>
  <si>
    <t>딜러사원일련번호</t>
  </si>
  <si>
    <t>0:정상 딜러사INTERFACE원일련번호:정정/취소</t>
  </si>
  <si>
    <t>YYYYMMDD, 당일</t>
  </si>
  <si>
    <t>HHMMSS</t>
  </si>
  <si>
    <t>딜러사코드</t>
  </si>
  <si>
    <t>전문딜러코드</t>
  </si>
  <si>
    <t>거소구분</t>
  </si>
  <si>
    <t>0:소액 1:거액
(기존 1:소액,2:거액. 2014.07.14)</t>
  </si>
  <si>
    <t>잔존기간</t>
  </si>
  <si>
    <t>YYMMDD</t>
  </si>
  <si>
    <t>매도수익율</t>
  </si>
  <si>
    <t>매수수익율</t>
  </si>
  <si>
    <t>매도수량</t>
  </si>
  <si>
    <t>매수수량</t>
  </si>
  <si>
    <t>SPACE 403 → 401  2014.07.14</t>
  </si>
  <si>
    <t>FF</t>
  </si>
  <si>
    <t>END OF TEXT (%HFF)</t>
  </si>
  <si>
    <t>J6077</t>
    <phoneticPr fontId="27" type="noConversion"/>
  </si>
  <si>
    <t>정보분배 데이터를 식별하는 구분 코드값 (J6)</t>
  </si>
  <si>
    <t>51:당일 거래내역
52:직전영업일 거래내역
53:거래내약 과거누락분
54:거래내역 과거 정정/취소분
95:업무마감</t>
  </si>
  <si>
    <t>거래일자</t>
  </si>
  <si>
    <t>접수번호</t>
  </si>
  <si>
    <t>원접수번호</t>
  </si>
  <si>
    <t>0:정상 원접수번호:정정/취소</t>
  </si>
  <si>
    <t>매매성격구분</t>
  </si>
  <si>
    <t>1:자기 2:자전 3:중개 9:기타</t>
  </si>
  <si>
    <t>단위:1원,1달러,1엔,1유로,1위안,1영국파운드,1홍콩달러,1호주달러,1싱가폴달러,기타</t>
  </si>
  <si>
    <t>세전단가</t>
  </si>
  <si>
    <t>999999V99(단위:1원,1달러,1엔,1유로,1위안,1영국파운드,1홍콩달러,1호주달러,1싱가폴달러,기타)</t>
  </si>
  <si>
    <t>세전수익율</t>
  </si>
  <si>
    <t>999V99999 음수발생가능(-)</t>
  </si>
  <si>
    <t>유통기준금리</t>
  </si>
  <si>
    <t>999V99999, FRN</t>
  </si>
  <si>
    <t>통화구분</t>
  </si>
  <si>
    <t>1:원화 2:달러화 3:엔화 4:유로화 5:위안화 6:영국파운드 7:홍콩달러 8:호주달러 9:싱가폴달러 0:기타</t>
  </si>
  <si>
    <t>기준환율</t>
  </si>
  <si>
    <t>9999V9999(원/달러,원/엔,원/유로,원/위안화,원/영국파운드,원/홍콩달러,원/호주달러,원/싱가폴달러,원/기타)</t>
  </si>
  <si>
    <t>거래구분</t>
  </si>
  <si>
    <t>2:위탁 4:직매</t>
  </si>
  <si>
    <t>C1077</t>
    <phoneticPr fontId="27" type="noConversion"/>
  </si>
  <si>
    <t>정보분배 데이터를 식별하는 구분 코드값 (C1)</t>
  </si>
  <si>
    <t>거래일</t>
  </si>
  <si>
    <t>투자자분류</t>
  </si>
  <si>
    <t>별첨 코드값모음 참조</t>
  </si>
  <si>
    <t>99999V99999 ("-"발생시: -9999V99999)</t>
  </si>
  <si>
    <t>99999V99999 ("-"발생시: -9999V99999(</t>
  </si>
  <si>
    <t>매도거래량</t>
  </si>
  <si>
    <t>매수거래량</t>
  </si>
  <si>
    <t>매도거래대금</t>
  </si>
  <si>
    <t>매수거래대금</t>
  </si>
  <si>
    <t>J7077</t>
    <phoneticPr fontId="27" type="noConversion"/>
  </si>
  <si>
    <t>정보분배 데이터를 식별하는 구분 코드값 (J7)</t>
  </si>
  <si>
    <t>데이터처리구분</t>
  </si>
  <si>
    <t>I:정상 D:삭제 E:종료</t>
  </si>
  <si>
    <t>투자자주체코드</t>
  </si>
  <si>
    <t>채권종류코드</t>
  </si>
  <si>
    <t>1:국채 2:지방채 3:특수채 4:통안채 5:금융채 6:회사채</t>
  </si>
  <si>
    <t>9999V9999 ("-"발생시:-999V9999)</t>
  </si>
  <si>
    <t>단위:천원</t>
  </si>
  <si>
    <t>J8077_NH0</t>
    <phoneticPr fontId="27" type="noConversion"/>
  </si>
  <si>
    <t>채권IDB내고가능호가</t>
    <phoneticPr fontId="27" type="noConversion"/>
  </si>
  <si>
    <t>정보분배 데이터를 식별하는 구분 코드값 (J8)</t>
  </si>
  <si>
    <t>채권IDB내고가능호가</t>
  </si>
  <si>
    <t>DATA성격</t>
  </si>
  <si>
    <t>DATA, LINK, RESE</t>
  </si>
  <si>
    <t>전송SEQ</t>
  </si>
  <si>
    <t>OCCURS건수</t>
  </si>
  <si>
    <t>"00"</t>
  </si>
  <si>
    <t>전송일시</t>
  </si>
  <si>
    <t>YYYYMMDDHHMMSS</t>
  </si>
  <si>
    <t>업무구분</t>
  </si>
  <si>
    <t>NH0</t>
  </si>
  <si>
    <t>송신기관코드</t>
  </si>
  <si>
    <t>01:KIDB 02:KMB 91:INFOMAX 92:KOSCOM</t>
  </si>
  <si>
    <t>DATA건수</t>
  </si>
  <si>
    <t>본항목은 시세전문의 유형이 종가통보일때 체결건수를 의미함
다른때는 의미없음</t>
  </si>
  <si>
    <t>주문번호</t>
  </si>
  <si>
    <t>전체주문번호</t>
  </si>
  <si>
    <t>주문시간</t>
  </si>
  <si>
    <t>HHMMSSCCCC</t>
  </si>
  <si>
    <t>I:정상 U:정정 D:취소</t>
  </si>
  <si>
    <t>B:매수 O:매도</t>
  </si>
  <si>
    <t>호가공지</t>
  </si>
  <si>
    <t>J8077_SI0</t>
    <phoneticPr fontId="27" type="noConversion"/>
  </si>
  <si>
    <t>채권IDB시세</t>
    <phoneticPr fontId="27" type="noConversion"/>
  </si>
  <si>
    <t>채권IDB시세</t>
  </si>
  <si>
    <t>SI0</t>
  </si>
  <si>
    <t>유형</t>
  </si>
  <si>
    <t>1:일반 2:종가통보</t>
  </si>
  <si>
    <t>결제구분</t>
  </si>
  <si>
    <t>1:당일 2:익일 3:3일 4:4일 5:5일 6:6일 7:7일 8:8일 9:기타</t>
  </si>
  <si>
    <t>최종결제시간</t>
  </si>
  <si>
    <t>시가수익율</t>
  </si>
  <si>
    <t>99V999</t>
  </si>
  <si>
    <t>시가</t>
  </si>
  <si>
    <t>고가수익율</t>
  </si>
  <si>
    <t>저가수익율</t>
  </si>
  <si>
    <t>전일종가수익율</t>
  </si>
  <si>
    <t>최종거래수량</t>
  </si>
  <si>
    <t>최종거래수익율</t>
  </si>
  <si>
    <t>최종체결가</t>
  </si>
  <si>
    <t>최종거래대금</t>
  </si>
  <si>
    <t>전일대비수익율</t>
  </si>
  <si>
    <t>전일대비단가</t>
  </si>
  <si>
    <t>평균수익율</t>
  </si>
  <si>
    <t>평균단가</t>
  </si>
  <si>
    <t>누적건수</t>
  </si>
  <si>
    <t>누적거래량</t>
  </si>
  <si>
    <t>누적거래대금</t>
  </si>
  <si>
    <t>J8077_HO0</t>
    <phoneticPr fontId="27" type="noConversion"/>
  </si>
  <si>
    <t>채권IDB호가</t>
    <phoneticPr fontId="27" type="noConversion"/>
  </si>
  <si>
    <t>채권IDB호가</t>
  </si>
  <si>
    <t>HO0</t>
  </si>
  <si>
    <t>매수1호가</t>
  </si>
  <si>
    <t>매수1호가 수익율</t>
  </si>
  <si>
    <t>매수1호가 잔량</t>
  </si>
  <si>
    <t>매수2호가</t>
  </si>
  <si>
    <t>매수2호가 수익율</t>
  </si>
  <si>
    <t>매수2호가 잔량</t>
  </si>
  <si>
    <t>매수3호가</t>
  </si>
  <si>
    <t>매수3호가 수익율</t>
  </si>
  <si>
    <t>매수3호가 잔량</t>
  </si>
  <si>
    <t>매수4호가</t>
  </si>
  <si>
    <t>매수4호가 수익율</t>
  </si>
  <si>
    <t>매수4호가 잔량</t>
  </si>
  <si>
    <t>매수5호가</t>
  </si>
  <si>
    <t>매수5호가 수익율</t>
  </si>
  <si>
    <t>매수5호가 잔량</t>
  </si>
  <si>
    <t>매도1호가</t>
  </si>
  <si>
    <t>매도1호가 수익율</t>
  </si>
  <si>
    <t>매도1호가 잔량</t>
  </si>
  <si>
    <t>매도2호가</t>
  </si>
  <si>
    <t>매도2호가 수익율</t>
  </si>
  <si>
    <t>매도2호가 잔량</t>
  </si>
  <si>
    <t>매도3호가</t>
  </si>
  <si>
    <t>매도3호가 수익율</t>
  </si>
  <si>
    <t>매도3호가 잔량</t>
  </si>
  <si>
    <t>매도4호가</t>
  </si>
  <si>
    <t>매도4호가 수익율</t>
  </si>
  <si>
    <t>매도4호가 잔량</t>
  </si>
  <si>
    <t>매도5호가</t>
  </si>
  <si>
    <t>매도5호가 수익율</t>
  </si>
  <si>
    <t>매도5호가 잔량</t>
  </si>
  <si>
    <t>채권IDB결제일정보</t>
    <phoneticPr fontId="27" type="noConversion"/>
  </si>
  <si>
    <t>DT0</t>
    <phoneticPr fontId="27" type="noConversion"/>
  </si>
  <si>
    <t>결제일구분개수</t>
    <phoneticPr fontId="27" type="noConversion"/>
  </si>
  <si>
    <t>전송될 결제구분 개수</t>
    <phoneticPr fontId="27" type="noConversion"/>
  </si>
  <si>
    <t>결제구분</t>
    <phoneticPr fontId="27" type="noConversion"/>
  </si>
  <si>
    <t>1:당일</t>
    <phoneticPr fontId="27" type="noConversion"/>
  </si>
  <si>
    <t>결제일</t>
    <phoneticPr fontId="27" type="noConversion"/>
  </si>
  <si>
    <t>String</t>
    <phoneticPr fontId="27" type="noConversion"/>
  </si>
  <si>
    <t>YYYYMMDD</t>
    <phoneticPr fontId="27" type="noConversion"/>
  </si>
  <si>
    <t>2:익일</t>
    <phoneticPr fontId="27" type="noConversion"/>
  </si>
  <si>
    <t>3:3일</t>
    <phoneticPr fontId="27" type="noConversion"/>
  </si>
  <si>
    <t>4:4일</t>
    <phoneticPr fontId="27" type="noConversion"/>
  </si>
  <si>
    <t>5:5일</t>
    <phoneticPr fontId="27" type="noConversion"/>
  </si>
  <si>
    <t>6:6일</t>
    <phoneticPr fontId="27" type="noConversion"/>
  </si>
  <si>
    <t>7:7일</t>
    <phoneticPr fontId="27" type="noConversion"/>
  </si>
  <si>
    <t>8:8일</t>
    <phoneticPr fontId="27" type="noConversion"/>
  </si>
  <si>
    <t>filler</t>
  </si>
  <si>
    <t>채권IDB체결</t>
    <phoneticPr fontId="27" type="noConversion"/>
  </si>
  <si>
    <t>채권IDB체결</t>
  </si>
  <si>
    <t>CH0</t>
    <phoneticPr fontId="27" type="noConversion"/>
  </si>
  <si>
    <t>본항목은 시세전문의 유형이 종가통보일때 체결건수를 의미함
다른때는 의미없음</t>
    <phoneticPr fontId="27" type="noConversion"/>
  </si>
  <si>
    <t>체결번호</t>
    <phoneticPr fontId="27" type="noConversion"/>
  </si>
  <si>
    <t>전체체결번호</t>
    <phoneticPr fontId="27" type="noConversion"/>
  </si>
  <si>
    <t>체결시간</t>
    <phoneticPr fontId="27" type="noConversion"/>
  </si>
  <si>
    <t>hhmmsscccc</t>
    <phoneticPr fontId="27" type="noConversion"/>
  </si>
  <si>
    <t>처리구분</t>
    <phoneticPr fontId="27" type="noConversion"/>
  </si>
  <si>
    <t>I:정상, U:정정, D:취소</t>
    <phoneticPr fontId="27" type="noConversion"/>
  </si>
  <si>
    <t>매수업체분류코드</t>
    <phoneticPr fontId="27" type="noConversion"/>
  </si>
  <si>
    <t>거래소 표준업체분류코드</t>
    <phoneticPr fontId="27" type="noConversion"/>
  </si>
  <si>
    <t>매도업체분류코드</t>
    <phoneticPr fontId="27" type="noConversion"/>
  </si>
  <si>
    <t>표준코드</t>
    <phoneticPr fontId="27" type="noConversion"/>
  </si>
  <si>
    <t>수량</t>
    <phoneticPr fontId="27" type="noConversion"/>
  </si>
  <si>
    <t>수익률</t>
    <phoneticPr fontId="27" type="noConversion"/>
  </si>
  <si>
    <t>99V999</t>
    <phoneticPr fontId="27" type="noConversion"/>
  </si>
  <si>
    <t>단가(매매)</t>
    <phoneticPr fontId="27" type="noConversion"/>
  </si>
  <si>
    <t>거래대금</t>
    <phoneticPr fontId="27" type="noConversion"/>
  </si>
  <si>
    <t>1:당일, 2:익일, 3:3일, … 8:8일, 9:기타</t>
    <phoneticPr fontId="27" type="noConversion"/>
  </si>
  <si>
    <t>전일대비수익율</t>
    <phoneticPr fontId="27" type="noConversion"/>
  </si>
  <si>
    <t>전일대비단가</t>
    <phoneticPr fontId="27" type="noConversion"/>
  </si>
  <si>
    <t>FILLER</t>
    <phoneticPr fontId="27" type="noConversion"/>
  </si>
  <si>
    <t>채권IDB개시</t>
    <phoneticPr fontId="27" type="noConversion"/>
  </si>
  <si>
    <t>BG0</t>
    <phoneticPr fontId="27" type="noConversion"/>
  </si>
  <si>
    <t>채권IDB마감</t>
    <phoneticPr fontId="27" type="noConversion"/>
  </si>
  <si>
    <t>ED0</t>
    <phoneticPr fontId="27" type="noConversion"/>
  </si>
  <si>
    <t>H8000_D</t>
    <phoneticPr fontId="27" type="noConversion"/>
  </si>
  <si>
    <t>돈육대표가격 지수</t>
    <phoneticPr fontId="27" type="noConversion"/>
  </si>
  <si>
    <t>정보분배 데이터를 식별하는 구분 코드값 (H8)</t>
  </si>
  <si>
    <t>000:시장공통</t>
    <phoneticPr fontId="27" type="noConversion"/>
  </si>
  <si>
    <t>데이터 타입</t>
  </si>
  <si>
    <t>D:돈육 대표가격 지수</t>
  </si>
  <si>
    <t>공시일자-전일</t>
  </si>
  <si>
    <t>공시일자-직전일</t>
  </si>
  <si>
    <t>집계도매시장수</t>
  </si>
  <si>
    <t>개수</t>
  </si>
  <si>
    <t>집계두수</t>
  </si>
  <si>
    <t>두</t>
  </si>
  <si>
    <t>거래 도체중 합계</t>
  </si>
  <si>
    <t>kg</t>
  </si>
  <si>
    <t>거래 가격 합계</t>
  </si>
  <si>
    <t>원</t>
  </si>
  <si>
    <t>대표 가격</t>
  </si>
  <si>
    <t>원/kg</t>
  </si>
  <si>
    <t>H8000_L</t>
    <phoneticPr fontId="27" type="noConversion"/>
  </si>
  <si>
    <t>돈육실시간가격지수</t>
    <phoneticPr fontId="27" type="noConversion"/>
  </si>
  <si>
    <t>L:실시간 현물가격 지수</t>
  </si>
  <si>
    <t>공시일자-당일</t>
  </si>
  <si>
    <t>집계 도매시장 수</t>
  </si>
  <si>
    <t>경락두수</t>
  </si>
  <si>
    <t>현물 가격</t>
  </si>
  <si>
    <t>돈육마감가격지수</t>
    <phoneticPr fontId="27" type="noConversion"/>
  </si>
  <si>
    <t>E:실시간 현물가격 마감지수</t>
  </si>
  <si>
    <t>공시일자 당일</t>
  </si>
  <si>
    <t>공시일자 전일</t>
  </si>
  <si>
    <t>집계 두수</t>
  </si>
  <si>
    <t>시작 가격</t>
  </si>
  <si>
    <t>최고 가격</t>
  </si>
  <si>
    <t>최저 가격</t>
  </si>
  <si>
    <t>최종 가격</t>
  </si>
  <si>
    <t>"CC"</t>
  </si>
  <si>
    <t>업무코드</t>
  </si>
  <si>
    <t>001: 대주가능수량
002: 대주가능수량(시초)</t>
  </si>
  <si>
    <t>대주가능수량</t>
  </si>
  <si>
    <t>9(10)</t>
  </si>
  <si>
    <t>□ 전용선(UDP) 상품별 채널 구성</t>
  </si>
  <si>
    <t>회선</t>
  </si>
  <si>
    <t>UDP 방식</t>
  </si>
  <si>
    <t>멀티캐스트 그룹IP</t>
  </si>
  <si>
    <t>운용포트</t>
  </si>
  <si>
    <t>테스트포트</t>
  </si>
  <si>
    <t>재전송용 포트</t>
  </si>
  <si>
    <t>제공정보</t>
  </si>
  <si>
    <t>제공정보 코드</t>
  </si>
  <si>
    <t>송신시스템</t>
  </si>
  <si>
    <t>송신시스템IP</t>
  </si>
  <si>
    <t>시장</t>
  </si>
  <si>
    <t>제공상품</t>
  </si>
  <si>
    <t>증권A</t>
    <phoneticPr fontId="27" type="noConversion"/>
  </si>
  <si>
    <t>유가100M
유가12M</t>
    <phoneticPr fontId="27" type="noConversion"/>
  </si>
  <si>
    <t>Multicast</t>
  </si>
  <si>
    <t>233.38.231.30</t>
    <phoneticPr fontId="27" type="noConversion"/>
  </si>
  <si>
    <t>10050→
10031</t>
    <phoneticPr fontId="27" type="noConversion"/>
  </si>
  <si>
    <t>11050→
11031</t>
    <phoneticPr fontId="27" type="noConversion"/>
  </si>
  <si>
    <t>코스피 외국인 종목별투자정보(확정치)
코스닥 외국인 종목별투자정보(확정치)
K-OTC 외국인 종목별투자정보(확정치)
코넥스 외국인 종목별투자정보(확정치)
채권 외국인 종목별투자정보(확정치)
코스피 외국인 주문가능수량
코스닥 외국인 주문가능수량
K-OTC 외국인 주문가능수량
코넥스 외국인 주문가능수량
채권 외국인 주문가능수량
코스피 외국인 예비주문지정/해지
코스닥 외국인 예비주문지정/해지
K-OTC 외국인 예비주문지정/해지
코넥스 외국인 예비주문지정/해지
채권 외국인 예비주문지정/해지
코스피 외국인 확정치데이터재전송
코스닥 외국인 확정치데이터재전송
K-OTC 외국인 확정치데이터재전송
코넥스 외국인 확정치데이터재전송
채권 외국인 확정치데이터재전송
코스피 외국인 한도소진장외매매
코스닥 외국인 한도소진장외매매
K-OTC 외국인 한도소진장외매매
코넥스 외국인 한도소진장외매매
채권 외국인 한도소진장외매매
코스피 외국인 매매/결제현황
코스닥 외국인 매매/결제현황
코넥스 외국인 매매/결제현황</t>
    <phoneticPr fontId="27" type="noConversion"/>
  </si>
  <si>
    <t>F101S ← F1011
F101Q ← F1012
F1013
F101X ← F1018
F100B ← F1907
F201S ← F2011
F201Q ← F2012
F2013
F201X ← F2018
F200B ← F2907
F301S ← F3011
F301Q ← F3012
F3013
F301X ← F3018
F300B ← F3907
F401S ← F4011
F401Q ← F4012
F4013
F401X ← F4018
F400B ← F4907
F501S ← F5011
F501Q ← F5012
F5013
F501X ← F5018
F500B ← F5907
F601S ← F6011
F601Q ← F6012
F601X ← F6018</t>
    <phoneticPr fontId="27" type="noConversion"/>
  </si>
  <si>
    <t>코스콤정보분배</t>
  </si>
  <si>
    <t>Main 회선
MI : 192.165.1.120
BI1 : 192.165.1.121
BI2 : ...
TIA : 192.161.1.123
DR 회선
MI : 192.165.1.220</t>
  </si>
  <si>
    <t>코스콤</t>
  </si>
  <si>
    <t>233.38.231.31</t>
    <phoneticPr fontId="27" type="noConversion"/>
  </si>
  <si>
    <t>MKF채권지수
MKF채권지수 TS
통안채지수등
통안채지수등 TS
한경채권지수 
와이즈에프엔지수
KABI지수
KABI지수 TS</t>
    <phoneticPr fontId="27" type="noConversion"/>
  </si>
  <si>
    <t>K0000 ← K0017
K7077 ← K7017
L6000 ← L6077
L7077
K6000 ← K6017
P3000 ← P3011
Q6000 ← Q6077
Q7077</t>
    <phoneticPr fontId="27" type="noConversion"/>
  </si>
  <si>
    <t>Multicast</t>
    <phoneticPr fontId="27" type="noConversion"/>
  </si>
  <si>
    <t>233.38.231.32</t>
    <phoneticPr fontId="27" type="noConversion"/>
  </si>
  <si>
    <t>10052→
10032</t>
    <phoneticPr fontId="27" type="noConversion"/>
  </si>
  <si>
    <t>11052→
11032</t>
    <phoneticPr fontId="27" type="noConversion"/>
  </si>
  <si>
    <t>MKF지수
MKF지수(앤환율반영)</t>
    <phoneticPr fontId="27" type="noConversion"/>
  </si>
  <si>
    <t>E2000 ← E2011
O9000 ← O9011</t>
    <phoneticPr fontId="27" type="noConversion"/>
  </si>
  <si>
    <t>233.38.231.33</t>
    <phoneticPr fontId="27" type="noConversion"/>
  </si>
  <si>
    <t>10053→
10033</t>
    <phoneticPr fontId="27" type="noConversion"/>
  </si>
  <si>
    <t>11053→
11033</t>
    <phoneticPr fontId="27" type="noConversion"/>
  </si>
  <si>
    <t>해외지수(MSCI KOREA 지수)</t>
    <phoneticPr fontId="27" type="noConversion"/>
  </si>
  <si>
    <t>O5000 ← O5019</t>
    <phoneticPr fontId="27" type="noConversion"/>
  </si>
  <si>
    <t>233.38.231.34</t>
    <phoneticPr fontId="27" type="noConversion"/>
  </si>
  <si>
    <t xml:space="preserve">K-BOND(구 프리본드) </t>
    <phoneticPr fontId="27" type="noConversion"/>
  </si>
  <si>
    <t>233.38.231.35</t>
    <phoneticPr fontId="27" type="noConversion"/>
  </si>
  <si>
    <t>10055→
10034</t>
    <phoneticPr fontId="27" type="noConversion"/>
  </si>
  <si>
    <t>11055→
11034</t>
    <phoneticPr fontId="27" type="noConversion"/>
  </si>
  <si>
    <t>대주가능수량공시</t>
    <phoneticPr fontId="27" type="noConversion"/>
  </si>
  <si>
    <t>코스닥100M
코스닥12M</t>
    <phoneticPr fontId="27" type="noConversion"/>
  </si>
  <si>
    <t>233.38.231.60</t>
    <phoneticPr fontId="27" type="noConversion"/>
  </si>
  <si>
    <t>10120→
10141</t>
    <phoneticPr fontId="27" type="noConversion"/>
  </si>
  <si>
    <t>11120→
11141</t>
    <phoneticPr fontId="27" type="noConversion"/>
  </si>
  <si>
    <t>K-OTC 호가
K-OTC 체결
K-OTC 종목마감
K-OTC 장운영
K-OTC 종목배치
K-OTC 공시배치
K-OTC 공시</t>
    <phoneticPr fontId="27" type="noConversion"/>
  </si>
  <si>
    <t>A2013
A3013
A6013
A7013
A0013
E9013
F0013</t>
    <phoneticPr fontId="27" type="noConversion"/>
  </si>
  <si>
    <t>Main 회선
MI : 192.168.1.120
BI1 : 192.168.1.121
BI2 : ...
TIA : 192.161.1.123
DR 회선
MI : 192.168.1.220</t>
  </si>
  <si>
    <t>증권C</t>
    <phoneticPr fontId="27" type="noConversion"/>
  </si>
  <si>
    <t>구조화100M
구조화12M</t>
    <phoneticPr fontId="27" type="noConversion"/>
  </si>
  <si>
    <t>233.38.231.85</t>
    <phoneticPr fontId="27" type="noConversion"/>
  </si>
  <si>
    <t>10215→
10231</t>
    <phoneticPr fontId="27" type="noConversion"/>
  </si>
  <si>
    <t>11215→
11231</t>
    <phoneticPr fontId="27" type="noConversion"/>
  </si>
  <si>
    <t>ETF 운영사정보
ETF 사무수탁배치
ETF PDF
ETF 추적오차율
합성ETF 일일 거래상대방 위험평가액 정보
합성ETF 기초지수 구성종목
ETN 사무수탁정보
ETN 기초지수 구성종목
ETN 괴리율</t>
    <phoneticPr fontId="27" type="noConversion"/>
  </si>
  <si>
    <t>M803S ← M8011
N803S ← N8011
F803S ← F8011
P603S ← P6011
Q403S ← Q4011
Q503S ← Q5011
S104S ← S1011
S204S ← S2011
X404S ← X4011</t>
    <phoneticPr fontId="27" type="noConversion"/>
  </si>
  <si>
    <t>Main 회선
MI : 192.167.1.120
BI1 : 192.167.1.121
BI2 : ...
TIA : 192.161.1.123
DR 회선
MI : 192.167.1.220</t>
    <phoneticPr fontId="27" type="noConversion"/>
  </si>
  <si>
    <t>구조화12M</t>
    <phoneticPr fontId="27" type="noConversion"/>
  </si>
  <si>
    <t>233.38.231.86</t>
    <phoneticPr fontId="27" type="noConversion"/>
  </si>
  <si>
    <t>10216→
10232</t>
    <phoneticPr fontId="27" type="noConversion"/>
  </si>
  <si>
    <t>11216→
11232</t>
    <phoneticPr fontId="27" type="noConversion"/>
  </si>
  <si>
    <t>ETF Nav
ETF 예상Nav</t>
    <phoneticPr fontId="27" type="noConversion"/>
  </si>
  <si>
    <t>BV03S ← BV011
BW03S ← BW011</t>
    <phoneticPr fontId="27" type="noConversion"/>
  </si>
  <si>
    <t>233.38.231.87</t>
    <phoneticPr fontId="27" type="noConversion"/>
  </si>
  <si>
    <t>10217→
10233</t>
    <phoneticPr fontId="27" type="noConversion"/>
  </si>
  <si>
    <t>11217→
11233</t>
    <phoneticPr fontId="27" type="noConversion"/>
  </si>
  <si>
    <t>해외ETF Nav
해외지수ETF 추적오차율</t>
    <phoneticPr fontId="27" type="noConversion"/>
  </si>
  <si>
    <t>L503S ← L5011
P703S ← P7011</t>
    <phoneticPr fontId="27" type="noConversion"/>
  </si>
  <si>
    <t>233.38.231.88</t>
  </si>
  <si>
    <t>10218→
10234</t>
    <phoneticPr fontId="27" type="noConversion"/>
  </si>
  <si>
    <t>11218→
11234</t>
    <phoneticPr fontId="27" type="noConversion"/>
  </si>
  <si>
    <t>ELW 투자지표민감도</t>
    <phoneticPr fontId="27" type="noConversion"/>
  </si>
  <si>
    <t>C702S ← C7021</t>
    <phoneticPr fontId="27" type="noConversion"/>
  </si>
  <si>
    <t>233.38.231.89</t>
  </si>
  <si>
    <t>10219→
10235</t>
    <phoneticPr fontId="27" type="noConversion"/>
  </si>
  <si>
    <t>11219→
11235</t>
    <phoneticPr fontId="27" type="noConversion"/>
  </si>
  <si>
    <t xml:space="preserve">
ELW LP호가 내재변동성
</t>
  </si>
  <si>
    <t>233.38.231.90</t>
    <phoneticPr fontId="27" type="noConversion"/>
  </si>
  <si>
    <t>10220→
10236</t>
    <phoneticPr fontId="27" type="noConversion"/>
  </si>
  <si>
    <t>11220→
11236</t>
    <phoneticPr fontId="27" type="noConversion"/>
  </si>
  <si>
    <t>ETN IIV</t>
    <phoneticPr fontId="27" type="noConversion"/>
  </si>
  <si>
    <t>S304S ← S3011</t>
    <phoneticPr fontId="27" type="noConversion"/>
  </si>
  <si>
    <t>구조화100M</t>
    <phoneticPr fontId="27" type="noConversion"/>
  </si>
  <si>
    <t>233.38.231.114</t>
    <phoneticPr fontId="27" type="noConversion"/>
  </si>
  <si>
    <t>10221→
10237</t>
    <phoneticPr fontId="27" type="noConversion"/>
  </si>
  <si>
    <t>11221→
11237</t>
    <phoneticPr fontId="27" type="noConversion"/>
  </si>
  <si>
    <r>
      <t xml:space="preserve">BV03S </t>
    </r>
    <r>
      <rPr>
        <sz val="9"/>
        <color rgb="FF000000"/>
        <rFont val="맑은 고딕"/>
        <family val="3"/>
        <charset val="129"/>
      </rPr>
      <t>← BV011
BW03S ← BW011</t>
    </r>
    <phoneticPr fontId="27" type="noConversion"/>
  </si>
  <si>
    <t>233.38.231.115</t>
    <phoneticPr fontId="27" type="noConversion"/>
  </si>
  <si>
    <t>해외지수ETF대상지수(종가)</t>
    <phoneticPr fontId="27" type="noConversion"/>
  </si>
  <si>
    <t>M3000 ← M3011</t>
    <phoneticPr fontId="27" type="noConversion"/>
  </si>
  <si>
    <t>선물100M
선물12M</t>
    <phoneticPr fontId="27" type="noConversion"/>
  </si>
  <si>
    <t>233.38.231.120</t>
    <phoneticPr fontId="27" type="noConversion"/>
  </si>
  <si>
    <t>10345→
10398</t>
    <phoneticPr fontId="27" type="noConversion"/>
  </si>
  <si>
    <t>11345→
11398</t>
    <phoneticPr fontId="27" type="noConversion"/>
  </si>
  <si>
    <t>20321→
20311</t>
    <phoneticPr fontId="27" type="noConversion"/>
  </si>
  <si>
    <t>H8016 : 돈육대표가격 지수</t>
  </si>
  <si>
    <t>H8000 ← H8016</t>
  </si>
  <si>
    <t>Main 회선
MI : 192.164.1.130
BI1 : 192.164.1.131
BI2 : ...
TIA : 192.161.2.123
DR 회선
MI : 192.164.1.220</t>
  </si>
  <si>
    <t>채권8M
채권512K
채권128K</t>
    <phoneticPr fontId="27" type="noConversion"/>
  </si>
  <si>
    <t>233.38.231.167</t>
    <phoneticPr fontId="27" type="noConversion"/>
  </si>
  <si>
    <t>10417→
10451</t>
    <phoneticPr fontId="27" type="noConversion"/>
  </si>
  <si>
    <t>11417→
11451</t>
    <phoneticPr fontId="27" type="noConversion"/>
  </si>
  <si>
    <t>장외채권 최종호가 수익률
장외채권 거래내역</t>
    <phoneticPr fontId="27" type="noConversion"/>
  </si>
  <si>
    <t>J5077
J6077</t>
    <phoneticPr fontId="27" type="noConversion"/>
  </si>
  <si>
    <t>MAIN회선
MI : 192.198.1.120
BI1 : 192.198.1.121
BI2 : …
TIA : 192.161.1.123
DR
MI : 192.198.1.220</t>
    <phoneticPr fontId="27" type="noConversion"/>
  </si>
  <si>
    <t>채권128K</t>
  </si>
  <si>
    <t>233.38.231.168</t>
    <phoneticPr fontId="27" type="noConversion"/>
  </si>
  <si>
    <t>233.38.231.169</t>
    <phoneticPr fontId="27" type="noConversion"/>
  </si>
  <si>
    <t>10419→
10452</t>
    <phoneticPr fontId="27" type="noConversion"/>
  </si>
  <si>
    <t>11419→
11452</t>
    <phoneticPr fontId="27" type="noConversion"/>
  </si>
  <si>
    <t>K-BOND(구 프리본드)</t>
  </si>
  <si>
    <t>233.38.231.170</t>
    <phoneticPr fontId="27" type="noConversion"/>
  </si>
  <si>
    <t>10420→
10453</t>
    <phoneticPr fontId="27" type="noConversion"/>
  </si>
  <si>
    <t>11420→
11453</t>
    <phoneticPr fontId="27" type="noConversion"/>
  </si>
  <si>
    <t>장외채권 종목별투자자
장외채권 투자기관별 유통</t>
  </si>
  <si>
    <t>C1077
J7077</t>
  </si>
  <si>
    <t>233.38.231.171</t>
    <phoneticPr fontId="27" type="noConversion"/>
  </si>
  <si>
    <t>10421→
10454</t>
    <phoneticPr fontId="27" type="noConversion"/>
  </si>
  <si>
    <t>11421→
11454</t>
    <phoneticPr fontId="27" type="noConversion"/>
  </si>
  <si>
    <t>채권 IDB 정보</t>
  </si>
  <si>
    <t>233.38.231.173</t>
    <phoneticPr fontId="27" type="noConversion"/>
  </si>
  <si>
    <t>10423→
10455</t>
    <phoneticPr fontId="27" type="noConversion"/>
  </si>
  <si>
    <t>11423→
11455</t>
    <phoneticPr fontId="27" type="noConversion"/>
  </si>
  <si>
    <t>코스콤정보분배</t>
    <phoneticPr fontId="27" type="noConversion"/>
  </si>
  <si>
    <t>233.38.231.174</t>
    <phoneticPr fontId="27" type="noConversion"/>
  </si>
  <si>
    <t>10424→
10456</t>
    <phoneticPr fontId="27" type="noConversion"/>
  </si>
  <si>
    <t>11424→
11456</t>
    <phoneticPr fontId="27" type="noConversion"/>
  </si>
  <si>
    <r>
      <t>[</t>
    </r>
    <r>
      <rPr>
        <b/>
        <sz val="9"/>
        <color rgb="FF000000"/>
        <rFont val="맑은 고딕"/>
        <family val="3"/>
        <charset val="129"/>
      </rPr>
      <t>FnGuide제공용</t>
    </r>
    <r>
      <rPr>
        <sz val="9"/>
        <color rgb="FF000000"/>
        <rFont val="맑은 고딕"/>
        <family val="3"/>
        <charset val="129"/>
      </rPr>
      <t>]
MKF채권지수산출용 K-BOND(구 프리본드)
MKF지수(혼합형지수)
프리본드 시세 분배 ※통안채와 국채만 전송</t>
    </r>
  </si>
  <si>
    <t xml:space="preserve">L9077
E2000 ← E2011
</t>
  </si>
  <si>
    <t>□ 인터넷(TCP) 상품별 채널 구성</t>
  </si>
  <si>
    <t>전송그룹</t>
  </si>
  <si>
    <t>차세대(TO-BE)</t>
  </si>
  <si>
    <t>현운영(AS-IS)</t>
  </si>
  <si>
    <t>재전송용
포트</t>
  </si>
  <si>
    <t>외국인 투자정보</t>
  </si>
  <si>
    <t>F1011</t>
  </si>
  <si>
    <t>메인: 211.255.203.194
백업: 211.255.203.195
테스트: 211.255.203.196</t>
    <phoneticPr fontId="27" type="noConversion"/>
  </si>
  <si>
    <t>유가</t>
  </si>
  <si>
    <t>주식</t>
  </si>
  <si>
    <t>코스닥 외국인 종목별투자정보(확정치)</t>
  </si>
  <si>
    <t>F101Q</t>
  </si>
  <si>
    <t>F1012</t>
  </si>
  <si>
    <t>코스피 외국인 확정치데이터재전송</t>
    <phoneticPr fontId="27" type="noConversion"/>
  </si>
  <si>
    <t>코스닥 외국인 확정치데이터재전송</t>
    <phoneticPr fontId="27" type="noConversion"/>
  </si>
  <si>
    <t>F4011</t>
  </si>
  <si>
    <t>F401Q</t>
  </si>
  <si>
    <t>F4012</t>
  </si>
  <si>
    <t>ETP정보</t>
  </si>
  <si>
    <t>F8011</t>
  </si>
  <si>
    <t>ETF 운영사정보</t>
  </si>
  <si>
    <t>M8011</t>
  </si>
  <si>
    <t>N8011</t>
  </si>
  <si>
    <t>P6011</t>
  </si>
  <si>
    <t>Q4011</t>
  </si>
  <si>
    <t>Q5011</t>
  </si>
  <si>
    <t>S1011</t>
  </si>
  <si>
    <t>S2011</t>
  </si>
  <si>
    <t>코스콤 정보</t>
  </si>
  <si>
    <t>해외 ETP정보</t>
  </si>
  <si>
    <t>L5011</t>
  </si>
  <si>
    <t>해외지수 ETF 추적오차율</t>
  </si>
  <si>
    <t>P7011</t>
  </si>
  <si>
    <t>기타지수</t>
  </si>
  <si>
    <t>한국경제신문주식(KEDI) 지수</t>
  </si>
  <si>
    <t>BX000</t>
  </si>
  <si>
    <t>BX011</t>
  </si>
  <si>
    <t>K0017</t>
  </si>
  <si>
    <t>K7017</t>
  </si>
  <si>
    <t>K6017</t>
  </si>
  <si>
    <t>L6077</t>
  </si>
  <si>
    <t>P3011</t>
  </si>
  <si>
    <t>Q6077</t>
  </si>
  <si>
    <t>E2011</t>
  </si>
  <si>
    <t>기타</t>
  </si>
  <si>
    <t>MKF지수(엔환율반영)</t>
  </si>
  <si>
    <t>O9011</t>
  </si>
  <si>
    <t>ELW민감도</t>
  </si>
  <si>
    <t>C7021</t>
  </si>
  <si>
    <t>ELW</t>
  </si>
  <si>
    <t>N3021</t>
  </si>
  <si>
    <t>돈육지수</t>
  </si>
  <si>
    <t>돈육현물_대표가격지수</t>
  </si>
  <si>
    <t>H8000</t>
  </si>
  <si>
    <t>H8016</t>
  </si>
  <si>
    <t>파생</t>
  </si>
  <si>
    <t>코스콤 정보</t>
    <phoneticPr fontId="27" type="noConversion"/>
  </si>
  <si>
    <t>F101X</t>
  </si>
  <si>
    <t>F1018</t>
  </si>
  <si>
    <t>F401X</t>
  </si>
  <si>
    <t>F4018</t>
  </si>
  <si>
    <t>S3011</t>
  </si>
  <si>
    <t>BV011</t>
  </si>
  <si>
    <t>BW011</t>
  </si>
  <si>
    <t>□ 정보,시장구분코드</t>
  </si>
  <si>
    <t>TO-BE</t>
  </si>
  <si>
    <t>AS-IS</t>
  </si>
  <si>
    <t>정보구분</t>
  </si>
  <si>
    <t>정보</t>
  </si>
  <si>
    <t>시장+정보구분</t>
  </si>
  <si>
    <t>시장+정보</t>
  </si>
  <si>
    <t>시장공통</t>
  </si>
  <si>
    <t>00</t>
  </si>
  <si>
    <t>전체시장공통</t>
  </si>
  <si>
    <t>000</t>
  </si>
  <si>
    <t>유가증권</t>
  </si>
  <si>
    <t>S</t>
  </si>
  <si>
    <t>유가증권시장공통</t>
  </si>
  <si>
    <t>00S</t>
  </si>
  <si>
    <t>01</t>
  </si>
  <si>
    <t>01S</t>
  </si>
  <si>
    <t>011</t>
  </si>
  <si>
    <t>02</t>
  </si>
  <si>
    <t>02S</t>
  </si>
  <si>
    <t>ETF</t>
  </si>
  <si>
    <t>03</t>
  </si>
  <si>
    <t>03S</t>
  </si>
  <si>
    <t>증권상품</t>
  </si>
  <si>
    <t>C</t>
  </si>
  <si>
    <t>03C</t>
  </si>
  <si>
    <t>ETN</t>
  </si>
  <si>
    <t>04</t>
  </si>
  <si>
    <t>04S</t>
  </si>
  <si>
    <t>04C</t>
  </si>
  <si>
    <t>코스닥</t>
  </si>
  <si>
    <t>Q</t>
  </si>
  <si>
    <t>코스닥시장공통</t>
  </si>
  <si>
    <t>00Q</t>
  </si>
  <si>
    <t>01Q</t>
  </si>
  <si>
    <t>012</t>
  </si>
  <si>
    <t>프리보드</t>
  </si>
  <si>
    <t>013</t>
  </si>
  <si>
    <t>코넥스</t>
  </si>
  <si>
    <t>X</t>
  </si>
  <si>
    <t>코넥스시장공통</t>
  </si>
  <si>
    <t>00X</t>
  </si>
  <si>
    <t>01X</t>
  </si>
  <si>
    <t>018</t>
  </si>
  <si>
    <t>금현물</t>
  </si>
  <si>
    <t>G</t>
  </si>
  <si>
    <t>금현물시장공통</t>
  </si>
  <si>
    <t>00G</t>
  </si>
  <si>
    <t>금</t>
  </si>
  <si>
    <t>01G</t>
  </si>
  <si>
    <t>019</t>
  </si>
  <si>
    <t>배출권</t>
  </si>
  <si>
    <t>E</t>
  </si>
  <si>
    <t>배출권시장공통</t>
  </si>
  <si>
    <t>00E</t>
  </si>
  <si>
    <t>01E</t>
  </si>
  <si>
    <t>F</t>
  </si>
  <si>
    <t>파생시장공통</t>
  </si>
  <si>
    <t>00F</t>
  </si>
  <si>
    <t>kospi200선물</t>
  </si>
  <si>
    <t>01F</t>
  </si>
  <si>
    <t>지수파생</t>
  </si>
  <si>
    <t>014</t>
  </si>
  <si>
    <t>코스닥150선물</t>
  </si>
  <si>
    <t>02F</t>
  </si>
  <si>
    <t>024</t>
  </si>
  <si>
    <t>KOSPI200옵션</t>
  </si>
  <si>
    <t>03F</t>
  </si>
  <si>
    <t>034</t>
  </si>
  <si>
    <t>주식선물</t>
  </si>
  <si>
    <t>04F</t>
  </si>
  <si>
    <t>주식파생</t>
  </si>
  <si>
    <t>015</t>
  </si>
  <si>
    <t>주식옵션</t>
  </si>
  <si>
    <t>05</t>
  </si>
  <si>
    <t>05F</t>
  </si>
  <si>
    <t>025</t>
  </si>
  <si>
    <t>금융상품선물(국채,금리,통화)</t>
  </si>
  <si>
    <t>06</t>
  </si>
  <si>
    <t>06F</t>
  </si>
  <si>
    <t>상품선물</t>
  </si>
  <si>
    <t>상품파생</t>
  </si>
  <si>
    <t>016</t>
  </si>
  <si>
    <t>상품옵션</t>
  </si>
  <si>
    <t>07</t>
  </si>
  <si>
    <t>07F</t>
  </si>
  <si>
    <t>026</t>
  </si>
  <si>
    <t>변동성지수선물</t>
  </si>
  <si>
    <t>08</t>
  </si>
  <si>
    <t>08F</t>
  </si>
  <si>
    <t>09</t>
  </si>
  <si>
    <t>094</t>
  </si>
  <si>
    <t>섹터지수선물</t>
  </si>
  <si>
    <t>09F</t>
  </si>
  <si>
    <t>104</t>
  </si>
  <si>
    <t>일반상품선물(금,돈육)</t>
  </si>
  <si>
    <t>10</t>
  </si>
  <si>
    <t>10F</t>
  </si>
  <si>
    <t>배당지수선물
(미가동:MDCS등록)</t>
  </si>
  <si>
    <t>114</t>
  </si>
  <si>
    <t>미니kospi200선물</t>
  </si>
  <si>
    <t>11</t>
  </si>
  <si>
    <t>11F</t>
  </si>
  <si>
    <t>124</t>
  </si>
  <si>
    <t>미니kospi200옵션</t>
  </si>
  <si>
    <t>12</t>
  </si>
  <si>
    <t>12F</t>
  </si>
  <si>
    <t>134</t>
  </si>
  <si>
    <t>EURO STOXX 50선물</t>
  </si>
  <si>
    <t>14</t>
  </si>
  <si>
    <t>14F</t>
  </si>
  <si>
    <t>144</t>
  </si>
  <si>
    <t>CME KOSPI200선물</t>
  </si>
  <si>
    <t>044</t>
  </si>
  <si>
    <t>EUREX KOSPI200옵션</t>
  </si>
  <si>
    <t>해외파생</t>
  </si>
  <si>
    <t>054</t>
  </si>
  <si>
    <t>CME 미국달러선물(야간)</t>
  </si>
  <si>
    <t>126</t>
  </si>
  <si>
    <t>EUREX 미니코스피
200선물</t>
  </si>
  <si>
    <t>EUREX 미니코스피200선물</t>
  </si>
  <si>
    <t>154</t>
  </si>
  <si>
    <t>KRX300선물</t>
  </si>
  <si>
    <t>13</t>
  </si>
  <si>
    <t>13F</t>
  </si>
  <si>
    <t>164</t>
  </si>
  <si>
    <t>코스닥150옵션</t>
  </si>
  <si>
    <t>15</t>
  </si>
  <si>
    <t>15F</t>
  </si>
  <si>
    <t>174</t>
  </si>
  <si>
    <t>코스피 200 위클리 옵션</t>
  </si>
  <si>
    <t>16</t>
  </si>
  <si>
    <t>16F</t>
  </si>
  <si>
    <t>184</t>
  </si>
  <si>
    <t>장내국채</t>
  </si>
  <si>
    <t>K</t>
  </si>
  <si>
    <t>국채시장공통</t>
  </si>
  <si>
    <t>00K</t>
  </si>
  <si>
    <t>채권</t>
  </si>
  <si>
    <t>01K</t>
  </si>
  <si>
    <t>017</t>
  </si>
  <si>
    <t>장내소매채권</t>
  </si>
  <si>
    <t>027</t>
  </si>
  <si>
    <t>장내소액채권</t>
  </si>
  <si>
    <t>M</t>
  </si>
  <si>
    <t>소액채권시장공통</t>
  </si>
  <si>
    <t>00M</t>
  </si>
  <si>
    <t>01M</t>
  </si>
  <si>
    <t>037</t>
  </si>
  <si>
    <t>장내주식관련사채</t>
  </si>
  <si>
    <t>일반채권</t>
  </si>
  <si>
    <t>02B</t>
  </si>
  <si>
    <t>047</t>
  </si>
  <si>
    <t>레포</t>
  </si>
  <si>
    <t>R</t>
  </si>
  <si>
    <t>레포시장공통</t>
  </si>
  <si>
    <t>00R</t>
  </si>
  <si>
    <t>장내RP(REPO)</t>
  </si>
  <si>
    <t>01R</t>
  </si>
  <si>
    <t>057</t>
  </si>
  <si>
    <t>일반채권시장공통</t>
  </si>
  <si>
    <t>00B</t>
  </si>
  <si>
    <t>장내일반채권</t>
  </si>
  <si>
    <t>01B</t>
  </si>
  <si>
    <t>067</t>
  </si>
  <si>
    <t>장외채권(호가집중)</t>
  </si>
  <si>
    <t>077</t>
  </si>
  <si>
    <t>909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</si>
</sst>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34">
    <font>
      <sz val="11"/>
      <color rgb="FF000000"/>
      <name val="맑은 고딕"/>
    </font>
    <font>
      <u/>
      <sz val="11"/>
      <color rgb="FF0000FF"/>
      <name val="맑은 고딕"/>
      <family val="3"/>
      <charset val="129"/>
    </font>
    <font>
      <u/>
      <sz val="9.35"/>
      <color rgb="FF0563C1"/>
      <name val="맑은 고딕"/>
      <family val="3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Dotum"/>
      <family val="3"/>
      <charset val="129"/>
    </font>
    <font>
      <sz val="8"/>
      <color rgb="FF000000"/>
      <name val="나눔고딕코딩"/>
      <family val="3"/>
      <charset val="129"/>
    </font>
    <font>
      <sz val="10"/>
      <color rgb="FF000000"/>
      <name val="Arial"/>
      <family val="2"/>
    </font>
    <font>
      <u/>
      <sz val="7.65"/>
      <color rgb="FF0563C1"/>
      <name val="맑은 고딕"/>
      <family val="3"/>
      <charset val="129"/>
    </font>
    <font>
      <sz val="8"/>
      <color rgb="FF000000"/>
      <name val="맑은 고딕"/>
      <family val="3"/>
      <charset val="129"/>
    </font>
    <font>
      <strike/>
      <sz val="8"/>
      <color rgb="FF000000"/>
      <name val="맑은 고딕"/>
      <family val="3"/>
      <charset val="129"/>
    </font>
    <font>
      <b/>
      <sz val="8"/>
      <color rgb="FF000000"/>
      <name val="맑은 고딕"/>
      <family val="3"/>
      <charset val="129"/>
    </font>
    <font>
      <sz val="8"/>
      <color rgb="FF0563C1"/>
      <name val="맑은 고딕"/>
      <family val="3"/>
      <charset val="129"/>
    </font>
    <font>
      <b/>
      <sz val="9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2"/>
      <color rgb="FF000000"/>
      <name val="Arial"/>
      <family val="2"/>
    </font>
    <font>
      <sz val="9"/>
      <color rgb="FFFF0000"/>
      <name val="맑은 고딕"/>
      <family val="3"/>
      <charset val="129"/>
    </font>
    <font>
      <strike/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color rgb="FFFF0000"/>
      <name val="맑은 고딕"/>
      <family val="3"/>
      <charset val="129"/>
    </font>
    <font>
      <b/>
      <sz val="20"/>
      <color rgb="FF000000"/>
      <name val="맑은 고딕"/>
      <family val="3"/>
      <charset val="129"/>
    </font>
    <font>
      <b/>
      <sz val="9"/>
      <color rgb="FF000000"/>
      <name val="돋움"/>
      <family val="3"/>
      <charset val="129"/>
    </font>
    <font>
      <sz val="9"/>
      <color rgb="FF000000"/>
      <name val="Tahoma"/>
      <family val="2"/>
    </font>
    <font>
      <sz val="9"/>
      <color rgb="FF000000"/>
      <name val="돋움"/>
      <family val="3"/>
      <charset val="129"/>
    </font>
    <font>
      <b/>
      <sz val="9"/>
      <color rgb="FF000000"/>
      <name val="Tahoma"/>
      <family val="2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b/>
      <sz val="8"/>
      <color rgb="FF000000"/>
      <name val="D2Coding"/>
      <family val="3"/>
      <charset val="129"/>
    </font>
    <font>
      <b/>
      <u/>
      <sz val="12"/>
      <color rgb="FF00000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8"/>
      <color rgb="FF000000"/>
      <name val="Cambria"/>
      <family val="1"/>
    </font>
    <font>
      <sz val="8"/>
      <color rgb="FF000000"/>
      <name val="Cambria"/>
      <family val="1"/>
    </font>
    <font>
      <sz val="9"/>
      <color rgb="FF222222"/>
      <name val="굴림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FFFF00"/>
      </patternFill>
    </fill>
    <fill>
      <patternFill patternType="solid">
        <fgColor rgb="FFBFBFBF"/>
        <bgColor rgb="FF000000"/>
      </patternFill>
    </fill>
    <fill>
      <patternFill patternType="solid">
        <fgColor rgb="FFC0C0C0"/>
      </patternFill>
    </fill>
    <fill>
      <patternFill patternType="solid">
        <fgColor rgb="FFA6A6A6"/>
      </patternFill>
    </fill>
    <fill>
      <patternFill patternType="solid">
        <fgColor rgb="FFD7DDE4"/>
      </patternFill>
    </fill>
    <fill>
      <patternFill patternType="solid">
        <fgColor rgb="FFADBBCA"/>
      </patternFill>
    </fill>
    <fill>
      <patternFill patternType="solid">
        <fgColor rgb="FFFBE5D7"/>
      </patternFill>
    </fill>
    <fill>
      <patternFill patternType="solid">
        <fgColor rgb="FFF8CBAC"/>
      </patternFill>
    </fill>
    <fill>
      <patternFill patternType="solid">
        <fgColor rgb="FFEDEDED"/>
      </patternFill>
    </fill>
    <fill>
      <patternFill patternType="solid">
        <fgColor rgb="FFCCCCFF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50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Up="1" diagonalDown="1">
      <left/>
      <right style="thin">
        <color indexed="64"/>
      </right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 diagonalUp="1" diagonalDown="1">
      <left/>
      <right/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/>
      <right/>
      <top style="thin">
        <color rgb="FFBFBFBF"/>
      </top>
      <bottom style="thin">
        <color indexed="64"/>
      </bottom>
      <diagonal/>
    </border>
    <border diagonalUp="1" diagonalDown="1">
      <left/>
      <right/>
      <top/>
      <bottom style="thin">
        <color rgb="FFBFBFBF"/>
      </bottom>
      <diagonal/>
    </border>
    <border diagonalUp="1" diagonalDown="1">
      <left style="thin">
        <color indexed="64"/>
      </left>
      <right/>
      <top/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rgb="FFBFBFBF"/>
      </top>
      <bottom style="thin">
        <color indexed="64"/>
      </bottom>
      <diagonal/>
    </border>
    <border diagonalUp="1" diagonalDown="1">
      <left style="thin">
        <color indexed="64"/>
      </left>
      <right/>
      <top/>
      <bottom style="thin">
        <color indexed="64"/>
      </bottom>
      <diagonal/>
    </border>
    <border diagonalUp="1" diagonalDown="1">
      <left style="thin">
        <color indexed="64"/>
      </left>
      <right/>
      <top/>
      <bottom/>
      <diagonal/>
    </border>
    <border diagonalUp="1" diagonalDown="1">
      <left/>
      <right style="thin">
        <color indexed="64"/>
      </right>
      <top style="thin">
        <color rgb="FFBFBFBF"/>
      </top>
      <bottom style="thin">
        <color indexed="64"/>
      </bottom>
      <diagonal/>
    </border>
    <border diagonalUp="1" diagonalDown="1">
      <left/>
      <right style="thin">
        <color indexed="64"/>
      </right>
      <top/>
      <bottom/>
      <diagonal/>
    </border>
    <border diagonalUp="1" diagonalDown="1">
      <left/>
      <right style="thin">
        <color rgb="FFBFBFBF"/>
      </right>
      <top/>
      <bottom style="thin">
        <color rgb="FFBFBFBF"/>
      </bottom>
      <diagonal/>
    </border>
    <border diagonalUp="1" diagonalDown="1"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 diagonalUp="1" diagonalDown="1">
      <left/>
      <right style="thin">
        <color rgb="FFBFBFBF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/>
      <right/>
      <top/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 diagonalDown="1">
      <left/>
      <right style="thin">
        <color indexed="64"/>
      </right>
      <top/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indexed="64"/>
      </bottom>
      <diagonal/>
    </border>
    <border>
      <left/>
      <right/>
      <top style="thin">
        <color rgb="FFBFBFBF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/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FBFBF"/>
      </top>
      <bottom/>
      <diagonal/>
    </border>
    <border>
      <left style="thin">
        <color indexed="64"/>
      </left>
      <right style="thin">
        <color indexed="64"/>
      </right>
      <top style="thin">
        <color rgb="FFBFBFBF"/>
      </top>
      <bottom style="thin">
        <color rgb="FFBFBFBF"/>
      </bottom>
      <diagonal/>
    </border>
    <border diagonalUp="1" diagonalDown="1">
      <left style="thin">
        <color indexed="64"/>
      </left>
      <right style="thin">
        <color indexed="64"/>
      </right>
      <top/>
      <bottom style="thin">
        <color rgb="FFD9D9D9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rgb="FFD9D9D9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rgb="FFD9D9D9"/>
      </top>
      <bottom style="thin">
        <color indexed="64"/>
      </bottom>
      <diagonal/>
    </border>
  </borders>
  <cellStyleXfs count="21">
    <xf numFmtId="0" fontId="0" fillId="0" borderId="0">
      <alignment vertical="center"/>
    </xf>
    <xf numFmtId="0" fontId="26" fillId="0" borderId="0">
      <alignment vertical="center"/>
    </xf>
    <xf numFmtId="0" fontId="1" fillId="0" borderId="0">
      <alignment vertical="center"/>
    </xf>
    <xf numFmtId="0" fontId="26" fillId="0" borderId="0">
      <alignment vertical="center"/>
    </xf>
    <xf numFmtId="0" fontId="2" fillId="0" borderId="0">
      <alignment vertical="top"/>
      <protection locked="0"/>
    </xf>
    <xf numFmtId="0" fontId="3" fillId="0" borderId="0">
      <alignment vertical="center"/>
    </xf>
    <xf numFmtId="0" fontId="26" fillId="0" borderId="0">
      <alignment vertical="center"/>
    </xf>
    <xf numFmtId="0" fontId="4" fillId="0" borderId="0"/>
    <xf numFmtId="0" fontId="4" fillId="0" borderId="0"/>
    <xf numFmtId="0" fontId="4" fillId="0" borderId="0">
      <alignment vertical="center"/>
    </xf>
    <xf numFmtId="0" fontId="5" fillId="0" borderId="0">
      <alignment vertical="center"/>
    </xf>
    <xf numFmtId="0" fontId="4" fillId="0" borderId="0"/>
    <xf numFmtId="0" fontId="4" fillId="0" borderId="0"/>
    <xf numFmtId="176" fontId="26" fillId="0" borderId="0">
      <alignment vertical="center"/>
    </xf>
    <xf numFmtId="0" fontId="6" fillId="0" borderId="0">
      <alignment vertical="center"/>
    </xf>
    <xf numFmtId="0" fontId="26" fillId="0" borderId="0">
      <alignment vertical="center"/>
    </xf>
    <xf numFmtId="0" fontId="7" fillId="0" borderId="0"/>
    <xf numFmtId="0" fontId="8" fillId="0" borderId="0">
      <alignment vertical="top"/>
      <protection locked="0"/>
    </xf>
    <xf numFmtId="0" fontId="7" fillId="0" borderId="0"/>
    <xf numFmtId="0" fontId="7" fillId="0" borderId="0"/>
    <xf numFmtId="0" fontId="26" fillId="0" borderId="0">
      <alignment vertical="center"/>
    </xf>
  </cellStyleXfs>
  <cellXfs count="259">
    <xf numFmtId="0" fontId="0" fillId="0" borderId="0" xfId="0">
      <alignment vertical="center"/>
    </xf>
    <xf numFmtId="0" fontId="0" fillId="2" borderId="0" xfId="1" applyFont="1" applyFill="1">
      <alignment vertical="center"/>
    </xf>
    <xf numFmtId="0" fontId="0" fillId="0" borderId="0" xfId="1" applyFont="1">
      <alignment vertical="center"/>
    </xf>
    <xf numFmtId="0" fontId="9" fillId="0" borderId="0" xfId="3" applyFont="1">
      <alignment vertical="center"/>
    </xf>
    <xf numFmtId="0" fontId="9" fillId="0" borderId="0" xfId="3" applyFont="1" applyAlignment="1">
      <alignment horizontal="center" vertical="center"/>
    </xf>
    <xf numFmtId="0" fontId="9" fillId="0" borderId="0" xfId="3" applyFont="1" applyAlignment="1">
      <alignment vertical="center" wrapText="1"/>
    </xf>
    <xf numFmtId="0" fontId="9" fillId="0" borderId="1" xfId="3" applyFont="1" applyBorder="1" applyAlignment="1">
      <alignment horizontal="left" vertical="center" wrapText="1"/>
    </xf>
    <xf numFmtId="0" fontId="9" fillId="0" borderId="2" xfId="3" applyFont="1" applyBorder="1" applyAlignment="1">
      <alignment vertical="center" wrapText="1"/>
    </xf>
    <xf numFmtId="0" fontId="9" fillId="0" borderId="1" xfId="3" applyFont="1" applyBorder="1" applyAlignment="1">
      <alignment horizontal="center" vertical="center" wrapText="1"/>
    </xf>
    <xf numFmtId="20" fontId="9" fillId="0" borderId="1" xfId="3" applyNumberFormat="1" applyFont="1" applyBorder="1" applyAlignment="1">
      <alignment horizontal="center" vertical="center" wrapText="1"/>
    </xf>
    <xf numFmtId="0" fontId="9" fillId="0" borderId="1" xfId="3" applyFont="1" applyBorder="1" applyAlignment="1">
      <alignment vertical="center" wrapText="1"/>
    </xf>
    <xf numFmtId="0" fontId="9" fillId="0" borderId="1" xfId="3" applyFont="1" applyBorder="1" applyAlignment="1">
      <alignment horizontal="center" vertical="center"/>
    </xf>
    <xf numFmtId="0" fontId="10" fillId="0" borderId="4" xfId="3" applyFont="1" applyBorder="1" applyAlignment="1">
      <alignment vertical="center" wrapText="1"/>
    </xf>
    <xf numFmtId="0" fontId="9" fillId="3" borderId="4" xfId="3" applyFont="1" applyFill="1" applyBorder="1" applyAlignment="1">
      <alignment horizontal="center" vertical="center" wrapText="1"/>
    </xf>
    <xf numFmtId="0" fontId="9" fillId="3" borderId="1" xfId="3" applyFont="1" applyFill="1" applyBorder="1" applyAlignment="1">
      <alignment horizontal="center" vertical="center" wrapText="1"/>
    </xf>
    <xf numFmtId="0" fontId="9" fillId="3" borderId="5" xfId="3" applyFont="1" applyFill="1" applyBorder="1" applyAlignment="1">
      <alignment vertical="center" wrapText="1"/>
    </xf>
    <xf numFmtId="0" fontId="9" fillId="3" borderId="5" xfId="3" applyFont="1" applyFill="1" applyBorder="1" applyAlignment="1">
      <alignment horizontal="center" vertical="center" wrapText="1"/>
    </xf>
    <xf numFmtId="0" fontId="9" fillId="4" borderId="6" xfId="3" applyFont="1" applyFill="1" applyBorder="1" applyAlignment="1">
      <alignment horizontal="center" vertical="top" textRotation="255" wrapText="1"/>
    </xf>
    <xf numFmtId="0" fontId="11" fillId="4" borderId="4" xfId="3" applyFont="1" applyFill="1" applyBorder="1" applyAlignment="1">
      <alignment horizontal="center" vertical="center" wrapText="1"/>
    </xf>
    <xf numFmtId="0" fontId="9" fillId="0" borderId="7" xfId="3" applyFont="1" applyBorder="1" applyAlignment="1">
      <alignment horizontal="right" vertical="center"/>
    </xf>
    <xf numFmtId="0" fontId="9" fillId="0" borderId="7" xfId="3" applyFont="1" applyBorder="1" applyAlignment="1">
      <alignment horizontal="center" vertical="center"/>
    </xf>
    <xf numFmtId="0" fontId="9" fillId="0" borderId="7" xfId="3" applyFont="1" applyBorder="1" applyAlignment="1">
      <alignment horizontal="left" vertical="center"/>
    </xf>
    <xf numFmtId="0" fontId="9" fillId="0" borderId="8" xfId="3" applyFont="1" applyBorder="1" applyAlignment="1">
      <alignment horizontal="left" vertical="center" wrapText="1"/>
    </xf>
    <xf numFmtId="0" fontId="9" fillId="0" borderId="8" xfId="3" applyFont="1" applyBorder="1" applyAlignment="1">
      <alignment horizontal="center" vertical="center" wrapText="1"/>
    </xf>
    <xf numFmtId="0" fontId="9" fillId="0" borderId="9" xfId="3" applyFont="1" applyBorder="1" applyAlignment="1">
      <alignment horizontal="left" vertical="center" wrapText="1"/>
    </xf>
    <xf numFmtId="0" fontId="12" fillId="0" borderId="1" xfId="4" applyFont="1" applyBorder="1" applyAlignment="1" applyProtection="1">
      <alignment vertical="center"/>
    </xf>
    <xf numFmtId="0" fontId="11" fillId="5" borderId="10" xfId="3" applyFont="1" applyFill="1" applyBorder="1" applyAlignment="1">
      <alignment horizontal="center" vertical="center"/>
    </xf>
    <xf numFmtId="0" fontId="9" fillId="0" borderId="11" xfId="3" applyFont="1" applyBorder="1" applyAlignment="1">
      <alignment horizontal="center" vertical="center"/>
    </xf>
    <xf numFmtId="0" fontId="9" fillId="0" borderId="3" xfId="4" applyFont="1" applyBorder="1" applyAlignment="1" applyProtection="1">
      <alignment vertical="center" wrapText="1"/>
    </xf>
    <xf numFmtId="0" fontId="9" fillId="0" borderId="1" xfId="0" applyFont="1" applyBorder="1" applyAlignment="1">
      <alignment horizontal="center" vertical="top" wrapText="1"/>
    </xf>
    <xf numFmtId="0" fontId="9" fillId="0" borderId="0" xfId="15" applyFont="1" applyAlignment="1">
      <alignment horizontal="center" vertical="center"/>
    </xf>
    <xf numFmtId="0" fontId="9" fillId="0" borderId="0" xfId="15" applyFont="1">
      <alignment vertical="center"/>
    </xf>
    <xf numFmtId="0" fontId="13" fillId="6" borderId="1" xfId="15" applyFont="1" applyFill="1" applyBorder="1" applyAlignment="1">
      <alignment horizontal="center" vertical="center" wrapText="1"/>
    </xf>
    <xf numFmtId="0" fontId="9" fillId="0" borderId="0" xfId="3" applyFont="1" applyAlignment="1">
      <alignment horizontal="left" vertical="center"/>
    </xf>
    <xf numFmtId="49" fontId="9" fillId="0" borderId="7" xfId="3" applyNumberFormat="1" applyFont="1" applyBorder="1" applyAlignment="1">
      <alignment horizontal="left" vertical="top" wrapText="1"/>
    </xf>
    <xf numFmtId="0" fontId="9" fillId="0" borderId="3" xfId="3" applyFont="1" applyBorder="1" applyAlignment="1">
      <alignment vertical="center" wrapText="1"/>
    </xf>
    <xf numFmtId="0" fontId="9" fillId="0" borderId="13" xfId="3" applyFont="1" applyBorder="1" applyAlignment="1">
      <alignment horizontal="left" vertical="center" wrapText="1"/>
    </xf>
    <xf numFmtId="0" fontId="14" fillId="0" borderId="0" xfId="16" applyFont="1" applyAlignment="1">
      <alignment vertical="center"/>
    </xf>
    <xf numFmtId="0" fontId="15" fillId="0" borderId="1" xfId="16" applyFont="1" applyBorder="1" applyAlignment="1">
      <alignment horizontal="center" vertical="center"/>
    </xf>
    <xf numFmtId="0" fontId="15" fillId="0" borderId="1" xfId="16" applyFont="1" applyBorder="1" applyAlignment="1">
      <alignment horizontal="center" vertical="center" wrapText="1"/>
    </xf>
    <xf numFmtId="0" fontId="7" fillId="0" borderId="0" xfId="16"/>
    <xf numFmtId="49" fontId="7" fillId="0" borderId="0" xfId="16" applyNumberFormat="1"/>
    <xf numFmtId="0" fontId="16" fillId="0" borderId="0" xfId="16" applyFont="1"/>
    <xf numFmtId="0" fontId="15" fillId="0" borderId="1" xfId="16" applyFont="1" applyBorder="1" applyAlignment="1">
      <alignment horizontal="left" vertical="center"/>
    </xf>
    <xf numFmtId="0" fontId="15" fillId="7" borderId="5" xfId="16" applyFont="1" applyFill="1" applyBorder="1" applyAlignment="1">
      <alignment horizontal="center" vertical="center"/>
    </xf>
    <xf numFmtId="0" fontId="15" fillId="7" borderId="5" xfId="16" applyFont="1" applyFill="1" applyBorder="1" applyAlignment="1">
      <alignment horizontal="left" vertical="center"/>
    </xf>
    <xf numFmtId="0" fontId="15" fillId="7" borderId="1" xfId="16" applyFont="1" applyFill="1" applyBorder="1" applyAlignment="1">
      <alignment horizontal="center" vertical="center"/>
    </xf>
    <xf numFmtId="0" fontId="15" fillId="0" borderId="5" xfId="16" applyFont="1" applyBorder="1" applyAlignment="1">
      <alignment horizontal="center" vertical="center"/>
    </xf>
    <xf numFmtId="0" fontId="15" fillId="0" borderId="5" xfId="16" applyFont="1" applyBorder="1" applyAlignment="1">
      <alignment horizontal="left" vertical="center"/>
    </xf>
    <xf numFmtId="0" fontId="15" fillId="7" borderId="1" xfId="16" applyFont="1" applyFill="1" applyBorder="1" applyAlignment="1">
      <alignment horizontal="left" vertical="center"/>
    </xf>
    <xf numFmtId="0" fontId="17" fillId="7" borderId="1" xfId="16" applyFont="1" applyFill="1" applyBorder="1" applyAlignment="1">
      <alignment horizontal="center" vertical="center"/>
    </xf>
    <xf numFmtId="0" fontId="15" fillId="0" borderId="7" xfId="16" applyFont="1" applyBorder="1" applyAlignment="1">
      <alignment horizontal="center" vertical="center"/>
    </xf>
    <xf numFmtId="0" fontId="15" fillId="8" borderId="1" xfId="16" applyFont="1" applyFill="1" applyBorder="1" applyAlignment="1">
      <alignment horizontal="center" vertical="center"/>
    </xf>
    <xf numFmtId="0" fontId="15" fillId="8" borderId="1" xfId="16" applyFont="1" applyFill="1" applyBorder="1" applyAlignment="1">
      <alignment horizontal="left" vertical="center"/>
    </xf>
    <xf numFmtId="0" fontId="17" fillId="8" borderId="1" xfId="16" applyFont="1" applyFill="1" applyBorder="1" applyAlignment="1">
      <alignment horizontal="center" vertical="center"/>
    </xf>
    <xf numFmtId="0" fontId="15" fillId="9" borderId="1" xfId="16" applyFont="1" applyFill="1" applyBorder="1" applyAlignment="1">
      <alignment horizontal="center" vertical="center"/>
    </xf>
    <xf numFmtId="0" fontId="15" fillId="9" borderId="1" xfId="16" applyFont="1" applyFill="1" applyBorder="1" applyAlignment="1">
      <alignment horizontal="left" vertical="center"/>
    </xf>
    <xf numFmtId="0" fontId="17" fillId="9" borderId="1" xfId="16" applyFont="1" applyFill="1" applyBorder="1" applyAlignment="1">
      <alignment horizontal="center" vertical="center"/>
    </xf>
    <xf numFmtId="0" fontId="15" fillId="10" borderId="1" xfId="16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left" vertical="center"/>
    </xf>
    <xf numFmtId="0" fontId="17" fillId="10" borderId="14" xfId="16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14" xfId="16" applyFont="1" applyBorder="1" applyAlignment="1">
      <alignment horizontal="left" vertical="center"/>
    </xf>
    <xf numFmtId="0" fontId="17" fillId="10" borderId="1" xfId="16" applyFont="1" applyFill="1" applyBorder="1" applyAlignment="1">
      <alignment horizontal="center" vertical="center"/>
    </xf>
    <xf numFmtId="0" fontId="17" fillId="10" borderId="14" xfId="16" applyFont="1" applyFill="1" applyBorder="1" applyAlignment="1">
      <alignment horizontal="left" vertical="center"/>
    </xf>
    <xf numFmtId="0" fontId="17" fillId="10" borderId="1" xfId="16" applyFont="1" applyFill="1" applyBorder="1" applyAlignment="1">
      <alignment horizontal="center" vertical="center" wrapText="1"/>
    </xf>
    <xf numFmtId="0" fontId="15" fillId="11" borderId="1" xfId="16" applyFont="1" applyFill="1" applyBorder="1" applyAlignment="1">
      <alignment horizontal="center" vertical="center"/>
    </xf>
    <xf numFmtId="0" fontId="15" fillId="11" borderId="1" xfId="16" applyFont="1" applyFill="1" applyBorder="1" applyAlignment="1">
      <alignment horizontal="left" vertical="center"/>
    </xf>
    <xf numFmtId="0" fontId="17" fillId="11" borderId="1" xfId="16" applyFont="1" applyFill="1" applyBorder="1" applyAlignment="1">
      <alignment horizontal="center" vertical="center"/>
    </xf>
    <xf numFmtId="0" fontId="18" fillId="0" borderId="1" xfId="16" applyFont="1" applyBorder="1" applyAlignment="1">
      <alignment horizontal="center" vertical="center"/>
    </xf>
    <xf numFmtId="0" fontId="18" fillId="0" borderId="1" xfId="16" applyFont="1" applyBorder="1" applyAlignment="1">
      <alignment horizontal="left" vertical="center"/>
    </xf>
    <xf numFmtId="0" fontId="9" fillId="0" borderId="14" xfId="3" applyFont="1" applyBorder="1" applyAlignment="1">
      <alignment horizontal="center" vertical="center"/>
    </xf>
    <xf numFmtId="0" fontId="9" fillId="0" borderId="15" xfId="3" applyFont="1" applyBorder="1" applyAlignment="1">
      <alignment horizontal="center" vertical="center"/>
    </xf>
    <xf numFmtId="0" fontId="9" fillId="0" borderId="13" xfId="3" applyFont="1" applyBorder="1" applyAlignment="1">
      <alignment horizontal="center" vertical="center" wrapText="1"/>
    </xf>
    <xf numFmtId="0" fontId="9" fillId="0" borderId="12" xfId="3" applyFont="1" applyBorder="1" applyAlignment="1">
      <alignment horizontal="left" vertical="center" wrapText="1"/>
    </xf>
    <xf numFmtId="0" fontId="9" fillId="0" borderId="12" xfId="3" applyFont="1" applyBorder="1" applyAlignment="1">
      <alignment horizontal="center" vertical="center" wrapText="1"/>
    </xf>
    <xf numFmtId="0" fontId="12" fillId="0" borderId="14" xfId="4" applyFont="1" applyBorder="1" applyAlignment="1" applyProtection="1">
      <alignment vertical="center"/>
    </xf>
    <xf numFmtId="0" fontId="9" fillId="0" borderId="16" xfId="3" applyFont="1" applyBorder="1" applyAlignment="1">
      <alignment horizontal="center" vertical="center"/>
    </xf>
    <xf numFmtId="0" fontId="9" fillId="0" borderId="17" xfId="3" applyFont="1" applyBorder="1" applyAlignment="1">
      <alignment horizontal="left" vertical="center" wrapText="1"/>
    </xf>
    <xf numFmtId="0" fontId="9" fillId="0" borderId="18" xfId="3" applyFont="1" applyBorder="1" applyAlignment="1">
      <alignment horizontal="left" vertical="center" wrapText="1"/>
    </xf>
    <xf numFmtId="0" fontId="9" fillId="0" borderId="14" xfId="3" applyFont="1" applyBorder="1" applyAlignment="1">
      <alignment horizontal="center" vertical="center" wrapText="1"/>
    </xf>
    <xf numFmtId="0" fontId="9" fillId="0" borderId="14" xfId="3" applyFont="1" applyBorder="1" applyAlignment="1">
      <alignment horizontal="left" vertical="center" wrapText="1"/>
    </xf>
    <xf numFmtId="0" fontId="9" fillId="0" borderId="19" xfId="3" applyFont="1" applyBorder="1" applyAlignment="1">
      <alignment horizontal="left" vertical="center" wrapText="1"/>
    </xf>
    <xf numFmtId="0" fontId="9" fillId="0" borderId="20" xfId="3" applyFont="1" applyBorder="1" applyAlignment="1">
      <alignment horizontal="left" vertical="center" wrapText="1"/>
    </xf>
    <xf numFmtId="0" fontId="9" fillId="0" borderId="7" xfId="3" applyFont="1" applyBorder="1" applyAlignment="1">
      <alignment horizontal="center" vertical="center" wrapText="1"/>
    </xf>
    <xf numFmtId="0" fontId="9" fillId="0" borderId="7" xfId="3" applyFont="1" applyBorder="1" applyAlignment="1">
      <alignment horizontal="left" vertical="center" wrapText="1"/>
    </xf>
    <xf numFmtId="0" fontId="9" fillId="0" borderId="21" xfId="3" applyFont="1" applyBorder="1" applyAlignment="1">
      <alignment horizontal="center" vertical="center"/>
    </xf>
    <xf numFmtId="0" fontId="9" fillId="0" borderId="22" xfId="3" applyFont="1" applyBorder="1" applyAlignment="1">
      <alignment horizontal="center" vertical="center"/>
    </xf>
    <xf numFmtId="0" fontId="9" fillId="0" borderId="6" xfId="3" applyFont="1" applyBorder="1" applyAlignment="1">
      <alignment horizontal="center" vertical="center"/>
    </xf>
    <xf numFmtId="0" fontId="15" fillId="0" borderId="0" xfId="16" applyFont="1" applyAlignment="1">
      <alignment horizontal="center" vertical="center"/>
    </xf>
    <xf numFmtId="0" fontId="15" fillId="0" borderId="0" xfId="16" applyFont="1" applyAlignment="1">
      <alignment vertical="center"/>
    </xf>
    <xf numFmtId="0" fontId="15" fillId="0" borderId="0" xfId="16" applyFont="1" applyAlignment="1">
      <alignment vertical="center" wrapText="1"/>
    </xf>
    <xf numFmtId="0" fontId="19" fillId="12" borderId="1" xfId="16" applyFont="1" applyFill="1" applyBorder="1" applyAlignment="1">
      <alignment horizontal="center" vertical="center" wrapText="1"/>
    </xf>
    <xf numFmtId="0" fontId="3" fillId="0" borderId="0" xfId="16" applyFont="1" applyAlignment="1">
      <alignment horizontal="center" vertical="center"/>
    </xf>
    <xf numFmtId="0" fontId="0" fillId="2" borderId="23" xfId="1" applyFont="1" applyFill="1" applyBorder="1">
      <alignment vertical="center"/>
    </xf>
    <xf numFmtId="0" fontId="0" fillId="2" borderId="24" xfId="1" applyFont="1" applyFill="1" applyBorder="1">
      <alignment vertical="center"/>
    </xf>
    <xf numFmtId="0" fontId="0" fillId="2" borderId="25" xfId="1" applyFont="1" applyFill="1" applyBorder="1">
      <alignment vertical="center"/>
    </xf>
    <xf numFmtId="0" fontId="0" fillId="2" borderId="26" xfId="1" applyFont="1" applyFill="1" applyBorder="1">
      <alignment vertical="center"/>
    </xf>
    <xf numFmtId="49" fontId="9" fillId="0" borderId="27" xfId="15" applyNumberFormat="1" applyFont="1" applyBorder="1" applyAlignment="1">
      <alignment horizontal="center" vertical="center"/>
    </xf>
    <xf numFmtId="14" fontId="9" fillId="0" borderId="1" xfId="15" applyNumberFormat="1" applyFont="1" applyBorder="1" applyAlignment="1">
      <alignment horizontal="center" vertical="center"/>
    </xf>
    <xf numFmtId="0" fontId="9" fillId="0" borderId="1" xfId="15" applyFont="1" applyBorder="1" applyAlignment="1">
      <alignment vertical="center" wrapText="1"/>
    </xf>
    <xf numFmtId="0" fontId="9" fillId="0" borderId="3" xfId="15" applyFont="1" applyBorder="1" applyAlignment="1">
      <alignment horizontal="center" vertical="center"/>
    </xf>
    <xf numFmtId="0" fontId="9" fillId="0" borderId="3" xfId="15" applyFont="1" applyBorder="1" applyAlignment="1">
      <alignment horizontal="left" vertical="center"/>
    </xf>
    <xf numFmtId="0" fontId="20" fillId="4" borderId="6" xfId="3" applyFont="1" applyFill="1" applyBorder="1" applyAlignment="1">
      <alignment horizontal="center" vertical="top" textRotation="255" wrapText="1"/>
    </xf>
    <xf numFmtId="0" fontId="15" fillId="0" borderId="1" xfId="16" applyFont="1" applyBorder="1" applyAlignment="1">
      <alignment horizontal="left" vertical="center" wrapText="1"/>
    </xf>
    <xf numFmtId="0" fontId="15" fillId="0" borderId="1" xfId="16" applyFont="1" applyBorder="1" applyAlignment="1">
      <alignment vertical="center" wrapText="1"/>
    </xf>
    <xf numFmtId="0" fontId="15" fillId="0" borderId="14" xfId="16" applyFont="1" applyBorder="1" applyAlignment="1">
      <alignment vertical="center"/>
    </xf>
    <xf numFmtId="0" fontId="9" fillId="0" borderId="3" xfId="15" applyFont="1" applyBorder="1" applyAlignment="1">
      <alignment vertical="center" wrapText="1"/>
    </xf>
    <xf numFmtId="0" fontId="9" fillId="0" borderId="1" xfId="3" applyFont="1" applyBorder="1">
      <alignment vertical="center"/>
    </xf>
    <xf numFmtId="0" fontId="9" fillId="0" borderId="28" xfId="3" applyFont="1" applyBorder="1" applyAlignment="1">
      <alignment horizontal="center" vertical="center"/>
    </xf>
    <xf numFmtId="0" fontId="9" fillId="13" borderId="12" xfId="3" applyFont="1" applyFill="1" applyBorder="1" applyAlignment="1">
      <alignment horizontal="center" vertical="center" wrapText="1"/>
    </xf>
    <xf numFmtId="0" fontId="9" fillId="13" borderId="13" xfId="3" applyFont="1" applyFill="1" applyBorder="1" applyAlignment="1">
      <alignment horizontal="center" vertical="center" wrapText="1"/>
    </xf>
    <xf numFmtId="0" fontId="9" fillId="0" borderId="1" xfId="15" applyFont="1" applyBorder="1" applyAlignment="1">
      <alignment horizontal="center" vertical="center"/>
    </xf>
    <xf numFmtId="0" fontId="9" fillId="0" borderId="1" xfId="15" applyFont="1" applyBorder="1">
      <alignment vertical="center"/>
    </xf>
    <xf numFmtId="0" fontId="19" fillId="12" borderId="1" xfId="16" applyFont="1" applyFill="1" applyBorder="1" applyAlignment="1">
      <alignment vertical="center" wrapText="1"/>
    </xf>
    <xf numFmtId="0" fontId="9" fillId="0" borderId="14" xfId="3" applyFont="1" applyBorder="1" applyAlignment="1">
      <alignment vertical="center" wrapText="1"/>
    </xf>
    <xf numFmtId="20" fontId="9" fillId="0" borderId="14" xfId="3" applyNumberFormat="1" applyFont="1" applyBorder="1" applyAlignment="1">
      <alignment horizontal="center" vertical="center" wrapText="1"/>
    </xf>
    <xf numFmtId="0" fontId="9" fillId="0" borderId="14" xfId="3" applyFont="1" applyBorder="1">
      <alignment vertical="center"/>
    </xf>
    <xf numFmtId="0" fontId="9" fillId="0" borderId="6" xfId="3" applyFont="1" applyBorder="1" applyAlignment="1">
      <alignment vertical="center" wrapText="1"/>
    </xf>
    <xf numFmtId="0" fontId="9" fillId="0" borderId="29" xfId="3" applyFont="1" applyBorder="1" applyAlignment="1">
      <alignment horizontal="center" vertical="center" wrapText="1"/>
    </xf>
    <xf numFmtId="0" fontId="9" fillId="0" borderId="29" xfId="3" applyFont="1" applyBorder="1" applyAlignment="1">
      <alignment vertical="center" wrapText="1"/>
    </xf>
    <xf numFmtId="20" fontId="9" fillId="0" borderId="29" xfId="3" applyNumberFormat="1" applyFont="1" applyBorder="1" applyAlignment="1">
      <alignment horizontal="center" vertical="center" wrapText="1"/>
    </xf>
    <xf numFmtId="0" fontId="9" fillId="0" borderId="30" xfId="3" applyFont="1" applyBorder="1" applyAlignment="1">
      <alignment vertical="center" wrapText="1"/>
    </xf>
    <xf numFmtId="0" fontId="9" fillId="0" borderId="5" xfId="3" applyFont="1" applyBorder="1" applyAlignment="1">
      <alignment vertical="center" wrapText="1"/>
    </xf>
    <xf numFmtId="0" fontId="9" fillId="0" borderId="7" xfId="3" applyFont="1" applyBorder="1" applyAlignment="1">
      <alignment vertical="center" wrapText="1"/>
    </xf>
    <xf numFmtId="0" fontId="9" fillId="0" borderId="12" xfId="3" quotePrefix="1" applyFont="1" applyBorder="1" applyAlignment="1">
      <alignment horizontal="left" vertical="center" wrapText="1"/>
    </xf>
    <xf numFmtId="0" fontId="9" fillId="0" borderId="28" xfId="3" applyFont="1" applyBorder="1" applyAlignment="1">
      <alignment horizontal="left" vertical="center"/>
    </xf>
    <xf numFmtId="0" fontId="9" fillId="0" borderId="22" xfId="3" applyFont="1" applyBorder="1">
      <alignment vertical="center"/>
    </xf>
    <xf numFmtId="49" fontId="9" fillId="0" borderId="14" xfId="3" applyNumberFormat="1" applyFont="1" applyBorder="1" applyAlignment="1">
      <alignment horizontal="left" vertical="top" wrapText="1"/>
    </xf>
    <xf numFmtId="0" fontId="9" fillId="0" borderId="6" xfId="3" applyFont="1" applyBorder="1">
      <alignment vertical="center"/>
    </xf>
    <xf numFmtId="0" fontId="9" fillId="0" borderId="1" xfId="15" applyFont="1" applyBorder="1" applyAlignment="1">
      <alignment horizontal="center" vertical="center" wrapText="1"/>
    </xf>
    <xf numFmtId="0" fontId="9" fillId="14" borderId="1" xfId="3" applyFont="1" applyFill="1" applyBorder="1" applyAlignment="1">
      <alignment horizontal="center" vertical="center" wrapText="1"/>
    </xf>
    <xf numFmtId="0" fontId="9" fillId="0" borderId="33" xfId="3" applyFont="1" applyBorder="1" applyAlignment="1">
      <alignment horizontal="center" vertical="center" wrapText="1"/>
    </xf>
    <xf numFmtId="0" fontId="9" fillId="0" borderId="21" xfId="3" applyFont="1" applyBorder="1" applyAlignment="1">
      <alignment horizontal="center" vertical="center" wrapText="1"/>
    </xf>
    <xf numFmtId="0" fontId="9" fillId="0" borderId="34" xfId="3" applyFont="1" applyBorder="1" applyAlignment="1">
      <alignment horizontal="center" vertical="center"/>
    </xf>
    <xf numFmtId="0" fontId="9" fillId="0" borderId="13" xfId="3" applyFont="1" applyBorder="1" applyAlignment="1">
      <alignment horizontal="center" vertical="center"/>
    </xf>
    <xf numFmtId="0" fontId="9" fillId="0" borderId="12" xfId="3" applyFont="1" applyBorder="1" applyAlignment="1">
      <alignment horizontal="center" vertical="center"/>
    </xf>
    <xf numFmtId="0" fontId="9" fillId="0" borderId="12" xfId="0" applyFont="1" applyBorder="1">
      <alignment vertical="center"/>
    </xf>
    <xf numFmtId="0" fontId="9" fillId="0" borderId="14" xfId="0" applyFont="1" applyBorder="1">
      <alignment vertical="center"/>
    </xf>
    <xf numFmtId="0" fontId="9" fillId="0" borderId="13" xfId="0" applyFont="1" applyBorder="1">
      <alignment vertical="center"/>
    </xf>
    <xf numFmtId="0" fontId="9" fillId="0" borderId="7" xfId="0" applyFont="1" applyBorder="1">
      <alignment vertical="center"/>
    </xf>
    <xf numFmtId="0" fontId="9" fillId="0" borderId="12" xfId="0" applyFont="1" applyBorder="1" applyAlignment="1">
      <alignment horizontal="center" vertical="center"/>
    </xf>
    <xf numFmtId="0" fontId="9" fillId="0" borderId="17" xfId="3" applyFont="1" applyBorder="1" applyAlignment="1">
      <alignment horizontal="center" vertical="center" wrapText="1"/>
    </xf>
    <xf numFmtId="0" fontId="9" fillId="0" borderId="35" xfId="3" applyFont="1" applyBorder="1" applyAlignment="1">
      <alignment horizontal="left" vertical="center" wrapText="1"/>
    </xf>
    <xf numFmtId="0" fontId="9" fillId="0" borderId="35" xfId="3" applyFont="1" applyBorder="1" applyAlignment="1">
      <alignment horizontal="center" vertical="center" wrapText="1"/>
    </xf>
    <xf numFmtId="0" fontId="9" fillId="0" borderId="32" xfId="0" applyFont="1" applyBorder="1">
      <alignment vertical="center"/>
    </xf>
    <xf numFmtId="0" fontId="9" fillId="0" borderId="36" xfId="3" applyFont="1" applyBorder="1" applyAlignment="1">
      <alignment horizontal="center" vertical="center"/>
    </xf>
    <xf numFmtId="0" fontId="9" fillId="0" borderId="37" xfId="3" applyFont="1" applyBorder="1" applyAlignment="1">
      <alignment horizontal="left" vertical="center" wrapText="1"/>
    </xf>
    <xf numFmtId="0" fontId="9" fillId="0" borderId="32" xfId="3" applyFont="1" applyBorder="1" applyAlignment="1">
      <alignment horizontal="center" vertical="center" wrapText="1"/>
    </xf>
    <xf numFmtId="0" fontId="9" fillId="0" borderId="35" xfId="3" applyFont="1" applyBorder="1" applyAlignment="1">
      <alignment horizontal="center" vertical="center"/>
    </xf>
    <xf numFmtId="0" fontId="9" fillId="0" borderId="38" xfId="3" applyFont="1" applyBorder="1" applyAlignment="1">
      <alignment horizontal="center" vertical="center" wrapText="1"/>
    </xf>
    <xf numFmtId="0" fontId="9" fillId="0" borderId="39" xfId="3" applyFont="1" applyBorder="1" applyAlignment="1">
      <alignment horizontal="center" vertical="center" wrapText="1"/>
    </xf>
    <xf numFmtId="0" fontId="9" fillId="0" borderId="40" xfId="3" applyFont="1" applyBorder="1" applyAlignment="1">
      <alignment horizontal="center" vertical="center" wrapText="1"/>
    </xf>
    <xf numFmtId="0" fontId="9" fillId="0" borderId="39" xfId="3" applyFont="1" applyBorder="1" applyAlignment="1">
      <alignment horizontal="left" vertical="center" wrapText="1"/>
    </xf>
    <xf numFmtId="0" fontId="9" fillId="0" borderId="40" xfId="3" applyFont="1" applyBorder="1" applyAlignment="1">
      <alignment horizontal="left" vertical="center" wrapText="1"/>
    </xf>
    <xf numFmtId="0" fontId="9" fillId="0" borderId="32" xfId="3" applyFont="1" applyBorder="1" applyAlignment="1">
      <alignment horizontal="left" vertical="center" wrapText="1"/>
    </xf>
    <xf numFmtId="0" fontId="9" fillId="0" borderId="22" xfId="3" applyFont="1" applyBorder="1" applyAlignment="1">
      <alignment horizontal="left" vertical="center"/>
    </xf>
    <xf numFmtId="0" fontId="9" fillId="0" borderId="6" xfId="3" applyFont="1" applyBorder="1" applyAlignment="1">
      <alignment horizontal="left" vertical="center"/>
    </xf>
    <xf numFmtId="0" fontId="15" fillId="14" borderId="1" xfId="16" applyFont="1" applyFill="1" applyBorder="1" applyAlignment="1">
      <alignment horizontal="center" vertical="center" wrapText="1"/>
    </xf>
    <xf numFmtId="0" fontId="11" fillId="0" borderId="3" xfId="15" applyFont="1" applyBorder="1" applyAlignment="1">
      <alignment horizontal="left" vertical="center" wrapText="1"/>
    </xf>
    <xf numFmtId="0" fontId="30" fillId="0" borderId="1" xfId="16" applyFont="1" applyBorder="1" applyAlignment="1">
      <alignment horizontal="center" vertical="center"/>
    </xf>
    <xf numFmtId="0" fontId="30" fillId="0" borderId="1" xfId="16" applyFont="1" applyBorder="1" applyAlignment="1">
      <alignment horizontal="left" vertical="center" wrapText="1"/>
    </xf>
    <xf numFmtId="0" fontId="15" fillId="0" borderId="42" xfId="16" applyFont="1" applyBorder="1" applyAlignment="1">
      <alignment vertical="center" wrapText="1"/>
    </xf>
    <xf numFmtId="0" fontId="15" fillId="0" borderId="42" xfId="16" applyFont="1" applyBorder="1" applyAlignment="1">
      <alignment vertical="center"/>
    </xf>
    <xf numFmtId="0" fontId="9" fillId="0" borderId="42" xfId="15" applyFont="1" applyBorder="1" applyAlignment="1">
      <alignment horizontal="center" vertical="center"/>
    </xf>
    <xf numFmtId="14" fontId="9" fillId="0" borderId="42" xfId="15" applyNumberFormat="1" applyFont="1" applyBorder="1" applyAlignment="1">
      <alignment horizontal="center" vertical="center"/>
    </xf>
    <xf numFmtId="0" fontId="9" fillId="0" borderId="42" xfId="15" applyFont="1" applyBorder="1" applyAlignment="1">
      <alignment vertical="center" wrapText="1"/>
    </xf>
    <xf numFmtId="0" fontId="9" fillId="0" borderId="42" xfId="15" applyFont="1" applyBorder="1">
      <alignment vertical="center"/>
    </xf>
    <xf numFmtId="0" fontId="30" fillId="0" borderId="1" xfId="16" applyFont="1" applyBorder="1" applyAlignment="1">
      <alignment horizontal="center" vertical="center" wrapText="1"/>
    </xf>
    <xf numFmtId="0" fontId="18" fillId="15" borderId="1" xfId="16" applyFont="1" applyFill="1" applyBorder="1" applyAlignment="1">
      <alignment horizontal="center" vertical="center"/>
    </xf>
    <xf numFmtId="0" fontId="18" fillId="15" borderId="1" xfId="16" applyFont="1" applyFill="1" applyBorder="1" applyAlignment="1">
      <alignment horizontal="center" vertical="center" wrapText="1"/>
    </xf>
    <xf numFmtId="0" fontId="18" fillId="15" borderId="1" xfId="16" applyFont="1" applyFill="1" applyBorder="1" applyAlignment="1">
      <alignment horizontal="left" vertical="center" wrapText="1"/>
    </xf>
    <xf numFmtId="0" fontId="9" fillId="14" borderId="1" xfId="3" applyFont="1" applyFill="1" applyBorder="1" applyAlignment="1">
      <alignment vertical="center" wrapText="1"/>
    </xf>
    <xf numFmtId="20" fontId="9" fillId="14" borderId="1" xfId="3" applyNumberFormat="1" applyFont="1" applyFill="1" applyBorder="1" applyAlignment="1">
      <alignment horizontal="center" vertical="center" wrapText="1"/>
    </xf>
    <xf numFmtId="0" fontId="9" fillId="0" borderId="40" xfId="3" quotePrefix="1" applyFont="1" applyBorder="1" applyAlignment="1">
      <alignment horizontal="left" vertical="center" wrapText="1"/>
    </xf>
    <xf numFmtId="0" fontId="10" fillId="16" borderId="1" xfId="3" applyFont="1" applyFill="1" applyBorder="1" applyAlignment="1">
      <alignment horizontal="center" vertical="center" wrapText="1"/>
    </xf>
    <xf numFmtId="0" fontId="10" fillId="16" borderId="1" xfId="3" applyFont="1" applyFill="1" applyBorder="1" applyAlignment="1">
      <alignment vertical="center" wrapText="1"/>
    </xf>
    <xf numFmtId="20" fontId="10" fillId="16" borderId="1" xfId="3" applyNumberFormat="1" applyFont="1" applyFill="1" applyBorder="1" applyAlignment="1">
      <alignment horizontal="center" vertical="center" wrapText="1"/>
    </xf>
    <xf numFmtId="0" fontId="10" fillId="16" borderId="3" xfId="3" applyFont="1" applyFill="1" applyBorder="1" applyAlignment="1">
      <alignment vertical="center" wrapText="1"/>
    </xf>
    <xf numFmtId="0" fontId="10" fillId="16" borderId="1" xfId="3" applyFont="1" applyFill="1" applyBorder="1" applyAlignment="1">
      <alignment horizontal="left" vertical="center" wrapText="1"/>
    </xf>
    <xf numFmtId="0" fontId="12" fillId="14" borderId="1" xfId="4" applyFont="1" applyFill="1" applyBorder="1" applyAlignment="1" applyProtection="1">
      <alignment vertical="center"/>
    </xf>
    <xf numFmtId="0" fontId="9" fillId="14" borderId="9" xfId="3" applyFont="1" applyFill="1" applyBorder="1" applyAlignment="1">
      <alignment horizontal="left" vertical="center" wrapText="1"/>
    </xf>
    <xf numFmtId="0" fontId="9" fillId="14" borderId="12" xfId="0" applyFont="1" applyFill="1" applyBorder="1" applyAlignment="1">
      <alignment horizontal="center" vertical="center"/>
    </xf>
    <xf numFmtId="0" fontId="9" fillId="14" borderId="12" xfId="0" applyFont="1" applyFill="1" applyBorder="1">
      <alignment vertical="center"/>
    </xf>
    <xf numFmtId="0" fontId="9" fillId="14" borderId="11" xfId="3" applyFont="1" applyFill="1" applyBorder="1" applyAlignment="1">
      <alignment horizontal="center" vertical="center"/>
    </xf>
    <xf numFmtId="0" fontId="9" fillId="14" borderId="8" xfId="3" applyFont="1" applyFill="1" applyBorder="1" applyAlignment="1">
      <alignment horizontal="center" vertical="center" wrapText="1"/>
    </xf>
    <xf numFmtId="0" fontId="9" fillId="14" borderId="8" xfId="3" applyFont="1" applyFill="1" applyBorder="1" applyAlignment="1">
      <alignment horizontal="left" vertical="center" wrapText="1"/>
    </xf>
    <xf numFmtId="0" fontId="12" fillId="14" borderId="14" xfId="4" applyFont="1" applyFill="1" applyBorder="1" applyAlignment="1" applyProtection="1">
      <alignment vertical="center"/>
    </xf>
    <xf numFmtId="0" fontId="9" fillId="14" borderId="17" xfId="3" applyFont="1" applyFill="1" applyBorder="1" applyAlignment="1">
      <alignment horizontal="left" vertical="center" wrapText="1"/>
    </xf>
    <xf numFmtId="0" fontId="9" fillId="14" borderId="16" xfId="3" applyFont="1" applyFill="1" applyBorder="1" applyAlignment="1">
      <alignment horizontal="center" vertical="center"/>
    </xf>
    <xf numFmtId="0" fontId="9" fillId="14" borderId="12" xfId="3" applyFont="1" applyFill="1" applyBorder="1" applyAlignment="1">
      <alignment horizontal="center" vertical="center" wrapText="1"/>
    </xf>
    <xf numFmtId="0" fontId="9" fillId="14" borderId="12" xfId="3" applyFont="1" applyFill="1" applyBorder="1" applyAlignment="1">
      <alignment horizontal="left" vertical="center" wrapText="1"/>
    </xf>
    <xf numFmtId="0" fontId="9" fillId="14" borderId="7" xfId="3" applyFont="1" applyFill="1" applyBorder="1" applyAlignment="1">
      <alignment horizontal="center" vertical="center" wrapText="1"/>
    </xf>
    <xf numFmtId="0" fontId="9" fillId="14" borderId="40" xfId="3" applyFont="1" applyFill="1" applyBorder="1" applyAlignment="1">
      <alignment horizontal="center" vertical="center" wrapText="1"/>
    </xf>
    <xf numFmtId="0" fontId="9" fillId="14" borderId="40" xfId="3" applyFont="1" applyFill="1" applyBorder="1" applyAlignment="1">
      <alignment horizontal="left" vertical="center" wrapText="1"/>
    </xf>
    <xf numFmtId="0" fontId="9" fillId="14" borderId="12" xfId="3" applyFont="1" applyFill="1" applyBorder="1" applyAlignment="1">
      <alignment horizontal="center" vertical="center"/>
    </xf>
    <xf numFmtId="0" fontId="9" fillId="14" borderId="17" xfId="3" applyFont="1" applyFill="1" applyBorder="1" applyAlignment="1">
      <alignment horizontal="center" vertical="center" wrapText="1"/>
    </xf>
    <xf numFmtId="0" fontId="9" fillId="14" borderId="0" xfId="3" applyFont="1" applyFill="1" applyAlignment="1">
      <alignment horizontal="center" vertical="center"/>
    </xf>
    <xf numFmtId="0" fontId="9" fillId="14" borderId="20" xfId="3" applyFont="1" applyFill="1" applyBorder="1" applyAlignment="1">
      <alignment horizontal="left" vertical="center" wrapText="1"/>
    </xf>
    <xf numFmtId="0" fontId="12" fillId="0" borderId="32" xfId="4" applyFont="1" applyBorder="1" applyAlignment="1" applyProtection="1">
      <alignment vertical="center"/>
    </xf>
    <xf numFmtId="0" fontId="9" fillId="0" borderId="32" xfId="3" applyFont="1" applyBorder="1" applyAlignment="1">
      <alignment horizontal="center" vertical="center"/>
    </xf>
    <xf numFmtId="0" fontId="9" fillId="0" borderId="38" xfId="3" applyFont="1" applyBorder="1" applyAlignment="1">
      <alignment horizontal="center" vertical="center"/>
    </xf>
    <xf numFmtId="0" fontId="12" fillId="0" borderId="7" xfId="4" applyFont="1" applyBorder="1" applyAlignment="1" applyProtection="1">
      <alignment vertical="center"/>
    </xf>
    <xf numFmtId="0" fontId="9" fillId="0" borderId="34" xfId="3" applyFont="1" applyBorder="1" applyAlignment="1">
      <alignment horizontal="left" vertical="center" wrapText="1"/>
    </xf>
    <xf numFmtId="0" fontId="9" fillId="0" borderId="34" xfId="3" applyFont="1" applyBorder="1" applyAlignment="1">
      <alignment horizontal="center" vertical="center" wrapText="1"/>
    </xf>
    <xf numFmtId="0" fontId="9" fillId="0" borderId="43" xfId="3" applyFont="1" applyBorder="1" applyAlignment="1">
      <alignment horizontal="center" vertical="center" wrapText="1"/>
    </xf>
    <xf numFmtId="0" fontId="9" fillId="0" borderId="44" xfId="3" applyFont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 wrapText="1"/>
    </xf>
    <xf numFmtId="0" fontId="11" fillId="5" borderId="10" xfId="3" applyFont="1" applyFill="1" applyBorder="1" applyAlignment="1">
      <alignment horizontal="center" vertical="center" wrapText="1"/>
    </xf>
    <xf numFmtId="0" fontId="32" fillId="0" borderId="45" xfId="14" applyFont="1" applyBorder="1" applyAlignment="1">
      <alignment horizontal="center" vertical="center"/>
    </xf>
    <xf numFmtId="0" fontId="32" fillId="0" borderId="46" xfId="14" applyFont="1" applyBorder="1" applyAlignment="1">
      <alignment horizontal="center" vertical="center"/>
    </xf>
    <xf numFmtId="0" fontId="32" fillId="0" borderId="47" xfId="14" applyFont="1" applyBorder="1" applyAlignment="1">
      <alignment horizontal="center" vertical="center"/>
    </xf>
    <xf numFmtId="0" fontId="32" fillId="0" borderId="48" xfId="14" applyFont="1" applyBorder="1" applyAlignment="1">
      <alignment horizontal="center" vertical="center"/>
    </xf>
    <xf numFmtId="0" fontId="32" fillId="14" borderId="46" xfId="14" applyFont="1" applyFill="1" applyBorder="1" applyAlignment="1">
      <alignment horizontal="center" vertical="center"/>
    </xf>
    <xf numFmtId="0" fontId="32" fillId="0" borderId="49" xfId="14" applyFont="1" applyBorder="1" applyAlignment="1">
      <alignment horizontal="center" vertical="center"/>
    </xf>
    <xf numFmtId="0" fontId="32" fillId="13" borderId="46" xfId="14" applyFont="1" applyFill="1" applyBorder="1" applyAlignment="1">
      <alignment horizontal="center" vertical="center"/>
    </xf>
    <xf numFmtId="0" fontId="33" fillId="0" borderId="0" xfId="0" applyFont="1">
      <alignment vertical="center"/>
    </xf>
    <xf numFmtId="0" fontId="30" fillId="14" borderId="1" xfId="16" applyFont="1" applyFill="1" applyBorder="1" applyAlignment="1">
      <alignment horizontal="center" vertical="center" wrapText="1"/>
    </xf>
    <xf numFmtId="0" fontId="30" fillId="14" borderId="1" xfId="16" applyFont="1" applyFill="1" applyBorder="1" applyAlignment="1">
      <alignment horizontal="center" vertical="center"/>
    </xf>
    <xf numFmtId="0" fontId="32" fillId="0" borderId="7" xfId="14" applyFont="1" applyBorder="1" applyAlignment="1">
      <alignment horizontal="center" vertical="center"/>
    </xf>
    <xf numFmtId="0" fontId="9" fillId="0" borderId="22" xfId="3" applyFont="1" applyBorder="1" applyAlignment="1">
      <alignment horizontal="center" vertical="center" wrapText="1"/>
    </xf>
    <xf numFmtId="0" fontId="9" fillId="14" borderId="7" xfId="0" applyFont="1" applyFill="1" applyBorder="1">
      <alignment vertical="center"/>
    </xf>
    <xf numFmtId="0" fontId="9" fillId="14" borderId="34" xfId="3" applyFont="1" applyFill="1" applyBorder="1" applyAlignment="1">
      <alignment horizontal="center" vertical="center" wrapText="1"/>
    </xf>
    <xf numFmtId="0" fontId="21" fillId="0" borderId="0" xfId="15" applyFont="1" applyAlignment="1">
      <alignment horizontal="center" vertical="center"/>
    </xf>
    <xf numFmtId="0" fontId="9" fillId="0" borderId="41" xfId="15" applyFont="1" applyBorder="1" applyAlignment="1">
      <alignment horizontal="center" vertical="center"/>
    </xf>
    <xf numFmtId="0" fontId="9" fillId="0" borderId="32" xfId="15" applyFont="1" applyBorder="1" applyAlignment="1">
      <alignment horizontal="center" vertical="center"/>
    </xf>
    <xf numFmtId="14" fontId="9" fillId="0" borderId="41" xfId="15" applyNumberFormat="1" applyFont="1" applyBorder="1" applyAlignment="1">
      <alignment horizontal="center" vertical="center"/>
    </xf>
    <xf numFmtId="14" fontId="9" fillId="0" borderId="32" xfId="15" applyNumberFormat="1" applyFont="1" applyBorder="1" applyAlignment="1">
      <alignment horizontal="center" vertical="center"/>
    </xf>
    <xf numFmtId="0" fontId="11" fillId="0" borderId="5" xfId="3" applyFont="1" applyBorder="1" applyAlignment="1">
      <alignment horizontal="center" vertical="center" wrapText="1"/>
    </xf>
    <xf numFmtId="0" fontId="11" fillId="0" borderId="7" xfId="3" applyFont="1" applyBorder="1" applyAlignment="1">
      <alignment horizontal="center" vertical="center" wrapText="1"/>
    </xf>
    <xf numFmtId="0" fontId="11" fillId="0" borderId="14" xfId="3" applyFont="1" applyBorder="1" applyAlignment="1">
      <alignment horizontal="center" vertical="center" wrapText="1"/>
    </xf>
    <xf numFmtId="0" fontId="11" fillId="5" borderId="1" xfId="3" applyFont="1" applyFill="1" applyBorder="1" applyAlignment="1">
      <alignment horizontal="center" vertical="center" wrapText="1"/>
    </xf>
    <xf numFmtId="0" fontId="11" fillId="4" borderId="5" xfId="1" applyFont="1" applyFill="1" applyBorder="1" applyAlignment="1">
      <alignment horizontal="center" vertical="center" wrapText="1"/>
    </xf>
    <xf numFmtId="0" fontId="11" fillId="4" borderId="7" xfId="1" applyFont="1" applyFill="1" applyBorder="1" applyAlignment="1">
      <alignment horizontal="center" vertical="center" wrapText="1"/>
    </xf>
    <xf numFmtId="0" fontId="11" fillId="4" borderId="31" xfId="1" applyFont="1" applyFill="1" applyBorder="1" applyAlignment="1">
      <alignment horizontal="center" vertical="center" wrapText="1"/>
    </xf>
    <xf numFmtId="0" fontId="11" fillId="5" borderId="5" xfId="3" applyFont="1" applyFill="1" applyBorder="1" applyAlignment="1">
      <alignment horizontal="center" vertical="center" wrapText="1"/>
    </xf>
    <xf numFmtId="0" fontId="11" fillId="5" borderId="7" xfId="3" applyFont="1" applyFill="1" applyBorder="1" applyAlignment="1">
      <alignment horizontal="center" vertical="center" wrapText="1"/>
    </xf>
    <xf numFmtId="0" fontId="11" fillId="5" borderId="14" xfId="3" applyFont="1" applyFill="1" applyBorder="1" applyAlignment="1">
      <alignment horizontal="center" vertical="center" wrapText="1"/>
    </xf>
    <xf numFmtId="0" fontId="15" fillId="0" borderId="41" xfId="16" applyFont="1" applyBorder="1" applyAlignment="1">
      <alignment horizontal="center" vertical="center" wrapText="1"/>
    </xf>
    <xf numFmtId="0" fontId="15" fillId="0" borderId="34" xfId="16" applyFont="1" applyBorder="1" applyAlignment="1">
      <alignment horizontal="center" vertical="center" wrapText="1"/>
    </xf>
    <xf numFmtId="0" fontId="15" fillId="0" borderId="32" xfId="16" applyFont="1" applyBorder="1" applyAlignment="1">
      <alignment horizontal="center" vertical="center" wrapText="1"/>
    </xf>
    <xf numFmtId="0" fontId="15" fillId="14" borderId="41" xfId="16" applyFont="1" applyFill="1" applyBorder="1" applyAlignment="1">
      <alignment horizontal="center" vertical="center" wrapText="1"/>
    </xf>
    <xf numFmtId="0" fontId="15" fillId="14" borderId="34" xfId="16" applyFont="1" applyFill="1" applyBorder="1" applyAlignment="1">
      <alignment horizontal="center" vertical="center" wrapText="1"/>
    </xf>
    <xf numFmtId="0" fontId="15" fillId="14" borderId="32" xfId="16" applyFont="1" applyFill="1" applyBorder="1" applyAlignment="1">
      <alignment horizontal="center" vertical="center" wrapText="1"/>
    </xf>
    <xf numFmtId="0" fontId="15" fillId="0" borderId="5" xfId="16" applyFont="1" applyBorder="1" applyAlignment="1">
      <alignment horizontal="center" vertical="center"/>
    </xf>
    <xf numFmtId="0" fontId="15" fillId="0" borderId="7" xfId="16" applyFont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1" xfId="16" applyFont="1" applyBorder="1" applyAlignment="1">
      <alignment horizontal="center" vertical="center"/>
    </xf>
    <xf numFmtId="0" fontId="15" fillId="0" borderId="1" xfId="16" applyFont="1" applyBorder="1" applyAlignment="1">
      <alignment horizontal="center" vertical="center" wrapText="1"/>
    </xf>
    <xf numFmtId="0" fontId="19" fillId="12" borderId="1" xfId="16" applyFont="1" applyFill="1" applyBorder="1" applyAlignment="1">
      <alignment horizontal="center" vertical="center" wrapText="1"/>
    </xf>
    <xf numFmtId="0" fontId="19" fillId="12" borderId="27" xfId="16" applyFont="1" applyFill="1" applyBorder="1" applyAlignment="1">
      <alignment horizontal="center" vertical="center" wrapText="1"/>
    </xf>
    <xf numFmtId="0" fontId="19" fillId="12" borderId="4" xfId="16" applyFont="1" applyFill="1" applyBorder="1" applyAlignment="1">
      <alignment horizontal="center" vertical="center" wrapText="1"/>
    </xf>
    <xf numFmtId="0" fontId="15" fillId="0" borderId="4" xfId="16" applyFont="1" applyBorder="1" applyAlignment="1">
      <alignment horizontal="center" vertical="center"/>
    </xf>
    <xf numFmtId="0" fontId="15" fillId="0" borderId="3" xfId="16" applyFont="1" applyBorder="1" applyAlignment="1">
      <alignment horizontal="center" vertical="center"/>
    </xf>
    <xf numFmtId="0" fontId="14" fillId="0" borderId="28" xfId="16" applyFont="1" applyBorder="1" applyAlignment="1">
      <alignment horizontal="left" vertical="center"/>
    </xf>
    <xf numFmtId="0" fontId="15" fillId="0" borderId="28" xfId="16" applyFont="1" applyBorder="1" applyAlignment="1">
      <alignment horizontal="left" vertical="center"/>
    </xf>
    <xf numFmtId="0" fontId="3" fillId="0" borderId="1" xfId="16" applyFont="1" applyBorder="1" applyAlignment="1">
      <alignment horizontal="center" vertical="center"/>
    </xf>
    <xf numFmtId="0" fontId="14" fillId="12" borderId="1" xfId="16" applyFont="1" applyFill="1" applyBorder="1" applyAlignment="1">
      <alignment horizontal="center" vertical="center"/>
    </xf>
  </cellXfs>
  <cellStyles count="21">
    <cellStyle name="쉼표 [0] 2" xfId="13" xr:uid="{00000000-0005-0000-0000-000000000000}"/>
    <cellStyle name="표준" xfId="0" builtinId="0"/>
    <cellStyle name="표준 109" xfId="1" xr:uid="{00000000-0005-0000-0000-000002000000}"/>
    <cellStyle name="표준 118" xfId="6" xr:uid="{00000000-0005-0000-0000-000003000000}"/>
    <cellStyle name="표준 12 10" xfId="8" xr:uid="{00000000-0005-0000-0000-000004000000}"/>
    <cellStyle name="표준 13 10" xfId="7" xr:uid="{00000000-0005-0000-0000-000005000000}"/>
    <cellStyle name="표준 14 4" xfId="12" xr:uid="{00000000-0005-0000-0000-000006000000}"/>
    <cellStyle name="표준 2" xfId="3" xr:uid="{00000000-0005-0000-0000-000007000000}"/>
    <cellStyle name="표준 2 177" xfId="5" xr:uid="{00000000-0005-0000-0000-000008000000}"/>
    <cellStyle name="표준 2 2" xfId="16" xr:uid="{00000000-0005-0000-0000-000009000000}"/>
    <cellStyle name="표준 2 2 2" xfId="19" xr:uid="{00000000-0005-0000-0000-00000A000000}"/>
    <cellStyle name="표준 2 44 2" xfId="14" xr:uid="{00000000-0005-0000-0000-00000B000000}"/>
    <cellStyle name="표준 3" xfId="15" xr:uid="{00000000-0005-0000-0000-00000C000000}"/>
    <cellStyle name="표준 33 17" xfId="9" xr:uid="{00000000-0005-0000-0000-00000D000000}"/>
    <cellStyle name="표준 36 3" xfId="10" xr:uid="{00000000-0005-0000-0000-00000E000000}"/>
    <cellStyle name="표준 4" xfId="18" xr:uid="{00000000-0005-0000-0000-00000F000000}"/>
    <cellStyle name="표준 43 2" xfId="11" xr:uid="{00000000-0005-0000-0000-000010000000}"/>
    <cellStyle name="표준 5" xfId="20" xr:uid="{00000000-0005-0000-0000-000011000000}"/>
    <cellStyle name="하이퍼링크" xfId="4" xr:uid="{00000000-0005-0000-0000-000012000000}"/>
    <cellStyle name="하이퍼링크 103" xfId="2" xr:uid="{00000000-0005-0000-0000-000013000000}"/>
    <cellStyle name="하이퍼링크 2" xfId="17" xr:uid="{00000000-0005-0000-0000-000014000000}"/>
  </cellStyles>
  <dxfs count="1828"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font>
        <color rgb="FFFF0000"/>
      </font>
      <fill>
        <patternFill>
          <bgColor rgb="FFFBE5D7"/>
        </patternFill>
      </fill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font>
        <color rgb="FFBFBFBF"/>
      </font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</border>
    </dxf>
    <dxf>
      <font>
        <color rgb="FFBFBFBF"/>
      </font>
    </dxf>
    <dxf>
      <border>
        <top style="thin">
          <color indexed="64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35</xdr:row>
      <xdr:rowOff>142875</xdr:rowOff>
    </xdr:from>
    <xdr:to>
      <xdr:col>2</xdr:col>
      <xdr:colOff>752475</xdr:colOff>
      <xdr:row>38</xdr:row>
      <xdr:rowOff>0</xdr:rowOff>
    </xdr:to>
    <xdr:pic>
      <xdr:nvPicPr>
        <xdr:cNvPr id="2" name="그림 3" descr="설명: 설명: KRX 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/>
        <a:srcRect/>
        <a:stretch>
          <a:fillRect/>
        </a:stretch>
      </xdr:blipFill>
      <xdr:spPr>
        <a:xfrm>
          <a:off x="123264" y="7597588"/>
          <a:ext cx="2599764" cy="493058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>
    <xdr:from>
      <xdr:col>10</xdr:col>
      <xdr:colOff>333375</xdr:colOff>
      <xdr:row>35</xdr:row>
      <xdr:rowOff>152400</xdr:rowOff>
    </xdr:from>
    <xdr:to>
      <xdr:col>12</xdr:col>
      <xdr:colOff>428625</xdr:colOff>
      <xdr:row>37</xdr:row>
      <xdr:rowOff>152400</xdr:rowOff>
    </xdr:to>
    <xdr:pic>
      <xdr:nvPicPr>
        <xdr:cNvPr id="3" name="그림 1" descr="설명: 설명: 영문슬로건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/>
        <a:srcRect/>
        <a:stretch>
          <a:fillRect/>
        </a:stretch>
      </xdr:blipFill>
      <xdr:spPr>
        <a:xfrm>
          <a:off x="10197353" y="7608794"/>
          <a:ext cx="2061882" cy="425823"/>
        </a:xfrm>
        <a:prstGeom prst="rect">
          <a:avLst/>
        </a:prstGeom>
        <a:noFill/>
        <a:ln w="9525">
          <a:noFill/>
          <a:miter/>
        </a:ln>
      </xdr:spPr>
    </xdr:pic>
    <xdr:clientData/>
  </xdr:twoCellAnchor>
  <xdr:twoCellAnchor>
    <xdr:from>
      <xdr:col>0</xdr:col>
      <xdr:colOff>561975</xdr:colOff>
      <xdr:row>8</xdr:row>
      <xdr:rowOff>9525</xdr:rowOff>
    </xdr:from>
    <xdr:to>
      <xdr:col>12</xdr:col>
      <xdr:colOff>638175</xdr:colOff>
      <xdr:row>8</xdr:row>
      <xdr:rowOff>9525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rot="10800000">
          <a:off x="560294" y="1714500"/>
          <a:ext cx="11911853" cy="0"/>
        </a:xfrm>
        <a:prstGeom prst="line">
          <a:avLst/>
        </a:prstGeom>
        <a:ln w="254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847725</xdr:colOff>
      <xdr:row>2</xdr:row>
      <xdr:rowOff>28575</xdr:rowOff>
    </xdr:from>
    <xdr:to>
      <xdr:col>12</xdr:col>
      <xdr:colOff>457200</xdr:colOff>
      <xdr:row>7</xdr:row>
      <xdr:rowOff>171449</xdr:rowOff>
    </xdr:to>
    <xdr:sp macro="" textlink="">
      <xdr:nvSpPr>
        <xdr:cNvPr id="5" name="Text Box 3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Rot="1" noChangeArrowheads="1"/>
        </xdr:cNvSpPr>
      </xdr:nvSpPr>
      <xdr:spPr>
        <a:xfrm>
          <a:off x="8740588" y="459441"/>
          <a:ext cx="3552264" cy="1199029"/>
        </a:xfrm>
        <a:prstGeom prst="rect">
          <a:avLst/>
        </a:prstGeom>
        <a:noFill/>
        <a:ln w="9525">
          <a:noFill/>
          <a:miter/>
        </a:ln>
      </xdr:spPr>
      <xdr:txBody>
        <a:bodyPr vertOverflow="clip" lIns="0" tIns="54610" rIns="64135" bIns="0">
          <a:spAutoFit/>
        </a:bodyPr>
        <a:lstStyle/>
        <a:p>
          <a:pPr algn="r">
            <a:lnSpc>
              <a:spcPct val="100000"/>
            </a:lnSpc>
          </a:pPr>
          <a:r>
            <a:rPr sz="2000" b="1">
              <a:solidFill>
                <a:srgbClr val="000000"/>
              </a:solidFill>
              <a:latin typeface="맑은 고딕"/>
              <a:ea typeface="맑은 고딕"/>
            </a:rPr>
            <a:t>차세대 시장시스템</a:t>
          </a:r>
          <a:r>
            <a:rPr sz="2000" b="1">
              <a:solidFill>
                <a:srgbClr val="000000"/>
              </a:solidFill>
              <a:latin typeface="돋움"/>
              <a:ea typeface="돋움"/>
            </a:rPr>
            <a:t> </a:t>
          </a:r>
          <a:r>
            <a:rPr sz="2000" b="1">
              <a:solidFill>
                <a:srgbClr val="000000"/>
              </a:solidFill>
              <a:latin typeface="맑은 고딕"/>
              <a:ea typeface="맑은 고딕"/>
            </a:rPr>
            <a:t> 개발</a:t>
          </a:r>
        </a:p>
        <a:p>
          <a:pPr algn="r">
            <a:lnSpc>
              <a:spcPct val="100000"/>
            </a:lnSpc>
          </a:pPr>
          <a:r>
            <a:rPr sz="2800" b="1">
              <a:solidFill>
                <a:srgbClr val="000000"/>
              </a:solidFill>
              <a:latin typeface="맑은 고딕"/>
              <a:ea typeface="맑은 고딕"/>
            </a:rPr>
            <a:t>접속표준서(정보분배)</a:t>
          </a:r>
        </a:p>
      </xdr:txBody>
    </xdr:sp>
    <xdr:clientData/>
  </xdr:twoCellAnchor>
  <xdr:twoCellAnchor>
    <xdr:from>
      <xdr:col>5</xdr:col>
      <xdr:colOff>333375</xdr:colOff>
      <xdr:row>26</xdr:row>
      <xdr:rowOff>123824</xdr:rowOff>
    </xdr:from>
    <xdr:to>
      <xdr:col>7</xdr:col>
      <xdr:colOff>381000</xdr:colOff>
      <xdr:row>30</xdr:row>
      <xdr:rowOff>66675</xdr:rowOff>
    </xdr:to>
    <xdr:sp macro="" textlink="">
      <xdr:nvSpPr>
        <xdr:cNvPr id="8" name="텍스트 개체 틀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Grp="1" noRot="1"/>
        </xdr:cNvSpPr>
      </xdr:nvSpPr>
      <xdr:spPr>
        <a:xfrm>
          <a:off x="5266764" y="5658970"/>
          <a:ext cx="2017058" cy="795617"/>
        </a:xfrm>
        <a:prstGeom prst="rect">
          <a:avLst/>
        </a:prstGeom>
        <a:solidFill>
          <a:schemeClr val="bg1"/>
        </a:solidFill>
      </xdr:spPr>
      <xdr:txBody>
        <a:bodyPr vertOverflow="clip" lIns="0" tIns="0" rIns="0" bIns="0" anchor="ctr">
          <a:spAutoFit/>
        </a:bodyPr>
        <a:lstStyle/>
        <a:p>
          <a:pPr algn="r">
            <a:lnSpc>
              <a:spcPct val="100000"/>
            </a:lnSpc>
          </a:pPr>
          <a:r>
            <a:rPr sz="2600" b="1">
              <a:solidFill>
                <a:srgbClr val="000099"/>
              </a:solidFill>
              <a:latin typeface="맑은 고딕"/>
              <a:ea typeface="맑은 고딕"/>
            </a:rPr>
            <a:t>2022. 03. 10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974912</xdr:colOff>
      <xdr:row>41</xdr:row>
      <xdr:rowOff>137921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2808324" cy="886730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13.&#47588;&#47588;&#52404;&#44208;\15.&#53580;&#49828;&#53944;&#52992;&#51060;&#49828;\&#53580;&#49828;&#53944;&#45936;&#51060;&#53552;\&#47588;&#52845;&#50644;&#51652;\&#52292;&#44428;\REPO\RPO.003.Validation.&#51333;&#47448;&#47588;&#49688;.&#47588;&#49688;&#48512;&#48516;&#52404;&#44208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템플릿 사용 유의사항"/>
      <sheetName val="입력전문_Repo"/>
      <sheetName val="출력전문"/>
      <sheetName val="항목별참고값"/>
      <sheetName val="ME결과변경정보설정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21474836470000000000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21474836470000000000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M39"/>
  <sheetViews>
    <sheetView showGridLines="0" tabSelected="1" view="pageBreakPreview" zoomScale="85" zoomScaleNormal="100" zoomScaleSheetLayoutView="85" workbookViewId="0"/>
  </sheetViews>
  <sheetFormatPr defaultColWidth="9" defaultRowHeight="16.5"/>
  <cols>
    <col min="1" max="13" width="13" style="2" customWidth="1"/>
    <col min="14" max="16384" width="9" style="2"/>
  </cols>
  <sheetData>
    <row r="1" spans="1:1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>
      <c r="A8" s="95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96"/>
    </row>
    <row r="9" spans="1:13">
      <c r="A9" s="97"/>
      <c r="B9" s="98"/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</row>
    <row r="10" spans="1:13">
      <c r="A10" s="97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</row>
    <row r="11" spans="1:13">
      <c r="A11" s="97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</row>
    <row r="12" spans="1:13">
      <c r="A12" s="97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</row>
    <row r="13" spans="1:13">
      <c r="A13" s="97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</row>
    <row r="14" spans="1:13">
      <c r="A14" s="97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</row>
    <row r="15" spans="1:13">
      <c r="A15" s="97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</row>
    <row r="16" spans="1:13">
      <c r="A16" s="97"/>
      <c r="B16" s="98"/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</row>
    <row r="17" spans="1:13">
      <c r="A17" s="97"/>
      <c r="B17" s="98"/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</row>
    <row r="18" spans="1:13">
      <c r="A18" s="97"/>
      <c r="B18" s="98"/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</row>
    <row r="19" spans="1:13">
      <c r="A19" s="97"/>
      <c r="B19" s="98"/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</row>
    <row r="20" spans="1:13">
      <c r="A20" s="97"/>
      <c r="B20" s="98"/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</row>
    <row r="21" spans="1:13">
      <c r="A21" s="97"/>
      <c r="B21" s="98"/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</row>
    <row r="22" spans="1:13">
      <c r="A22" s="97"/>
      <c r="B22" s="98"/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</row>
    <row r="23" spans="1:13">
      <c r="A23" s="97"/>
      <c r="B23" s="98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</row>
    <row r="24" spans="1:13">
      <c r="A24" s="97"/>
      <c r="B24" s="98"/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</row>
    <row r="25" spans="1:13">
      <c r="A25" s="97"/>
      <c r="B25" s="98"/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</row>
    <row r="26" spans="1:13">
      <c r="A26" s="97"/>
      <c r="B26" s="98"/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</row>
    <row r="27" spans="1:13">
      <c r="A27" s="97"/>
      <c r="B27" s="98"/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</row>
    <row r="28" spans="1:13">
      <c r="A28" s="97"/>
      <c r="B28" s="98"/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</row>
    <row r="29" spans="1:13">
      <c r="A29" s="97"/>
      <c r="B29" s="98"/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</row>
    <row r="30" spans="1:13">
      <c r="A30" s="97"/>
      <c r="B30" s="98"/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</row>
    <row r="31" spans="1:13">
      <c r="A31" s="97"/>
      <c r="B31" s="98"/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</row>
    <row r="32" spans="1:13">
      <c r="A32" s="97"/>
      <c r="B32" s="98"/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</row>
    <row r="33" spans="1:13">
      <c r="A33" s="97"/>
      <c r="B33" s="98"/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</row>
    <row r="34" spans="1:13">
      <c r="A34" s="97"/>
      <c r="B34" s="98"/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</row>
    <row r="35" spans="1:13">
      <c r="A35" s="97"/>
      <c r="B35" s="98"/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</row>
    <row r="36" spans="1:13">
      <c r="A36" s="97"/>
      <c r="B36" s="98"/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</row>
    <row r="37" spans="1:13">
      <c r="A37" s="97"/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</row>
    <row r="38" spans="1:13">
      <c r="A38" s="97"/>
      <c r="B38" s="98"/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</row>
    <row r="39" spans="1:13">
      <c r="A39" s="97"/>
      <c r="B39" s="98"/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</row>
  </sheetData>
  <phoneticPr fontId="27" type="noConversion"/>
  <pageMargins left="0.69972223043441772" right="0.69972223043441772" top="0.75" bottom="0.75" header="0.30000001192092896" footer="0.30000001192092896"/>
  <pageSetup paperSize="9" scale="71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H32"/>
  <sheetViews>
    <sheetView topLeftCell="A16" zoomScaleNormal="100" zoomScaleSheetLayoutView="75" workbookViewId="0">
      <selection activeCell="D23" sqref="D23"/>
    </sheetView>
  </sheetViews>
  <sheetFormatPr defaultColWidth="9" defaultRowHeight="11.25"/>
  <cols>
    <col min="1" max="1" width="2" style="31" customWidth="1"/>
    <col min="2" max="2" width="7.75" style="30" customWidth="1"/>
    <col min="3" max="3" width="10.75" style="30" customWidth="1"/>
    <col min="4" max="4" width="54.5" style="31" customWidth="1"/>
    <col min="5" max="5" width="7.5" style="31" bestFit="1" customWidth="1"/>
    <col min="6" max="6" width="31.75" style="31" bestFit="1" customWidth="1"/>
    <col min="7" max="7" width="14.25" style="30" customWidth="1"/>
    <col min="8" max="8" width="53.625" style="30" customWidth="1"/>
    <col min="9" max="16384" width="9" style="31"/>
  </cols>
  <sheetData>
    <row r="1" spans="2:8" s="30" customFormat="1" ht="16.5" customHeight="1">
      <c r="D1" s="31"/>
      <c r="E1" s="31"/>
      <c r="F1" s="31"/>
    </row>
    <row r="2" spans="2:8" ht="31.5">
      <c r="B2" s="224" t="s">
        <v>0</v>
      </c>
      <c r="C2" s="224"/>
      <c r="D2" s="224"/>
      <c r="E2" s="224"/>
      <c r="F2" s="224"/>
      <c r="G2" s="224"/>
      <c r="H2" s="224"/>
    </row>
    <row r="3" spans="2:8" ht="9.9499999999999993" customHeight="1"/>
    <row r="4" spans="2:8" ht="16.5" customHeight="1">
      <c r="B4" s="32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2" t="s">
        <v>7</v>
      </c>
    </row>
    <row r="5" spans="2:8">
      <c r="B5" s="99" t="s">
        <v>8</v>
      </c>
      <c r="C5" s="100">
        <v>44643</v>
      </c>
      <c r="D5" s="101" t="s">
        <v>9</v>
      </c>
      <c r="E5" s="108"/>
      <c r="F5" s="108"/>
      <c r="G5" s="102"/>
      <c r="H5" s="103"/>
    </row>
    <row r="6" spans="2:8">
      <c r="B6" s="99"/>
      <c r="C6" s="100"/>
      <c r="D6" s="101" t="s">
        <v>10</v>
      </c>
      <c r="E6" s="108"/>
      <c r="F6" s="108"/>
      <c r="G6" s="102"/>
      <c r="H6" s="103"/>
    </row>
    <row r="7" spans="2:8" ht="67.5">
      <c r="B7" s="99"/>
      <c r="C7" s="100"/>
      <c r="D7" s="101" t="s">
        <v>11</v>
      </c>
      <c r="E7" s="108"/>
      <c r="F7" s="108" t="s">
        <v>12</v>
      </c>
      <c r="G7" s="102"/>
      <c r="H7" s="160" t="s">
        <v>13</v>
      </c>
    </row>
    <row r="8" spans="2:8" ht="22.5">
      <c r="B8" s="99"/>
      <c r="C8" s="100"/>
      <c r="D8" s="101" t="s">
        <v>14</v>
      </c>
      <c r="E8" s="108"/>
      <c r="F8" s="108" t="s">
        <v>15</v>
      </c>
      <c r="G8" s="102"/>
      <c r="H8" s="103"/>
    </row>
    <row r="9" spans="2:8" ht="33.75">
      <c r="B9" s="113"/>
      <c r="C9" s="113"/>
      <c r="D9" s="101" t="s">
        <v>16</v>
      </c>
      <c r="E9" s="114"/>
      <c r="F9" s="114" t="s">
        <v>17</v>
      </c>
      <c r="G9" s="113"/>
      <c r="H9" s="113"/>
    </row>
    <row r="10" spans="2:8" ht="14.25" customHeight="1">
      <c r="B10" s="113"/>
      <c r="C10" s="113"/>
      <c r="D10" s="101" t="s">
        <v>18</v>
      </c>
      <c r="E10" s="114"/>
      <c r="F10" s="114" t="s">
        <v>19</v>
      </c>
      <c r="G10" s="113"/>
      <c r="H10" s="113"/>
    </row>
    <row r="11" spans="2:8" ht="15.75" customHeight="1">
      <c r="B11" s="113"/>
      <c r="C11" s="113"/>
      <c r="D11" s="101" t="s">
        <v>20</v>
      </c>
      <c r="E11" s="114"/>
      <c r="F11" s="114" t="s">
        <v>21</v>
      </c>
      <c r="G11" s="113"/>
      <c r="H11" s="113"/>
    </row>
    <row r="12" spans="2:8" ht="180">
      <c r="B12" s="113">
        <v>1.01</v>
      </c>
      <c r="C12" s="100">
        <v>44656</v>
      </c>
      <c r="D12" s="101" t="s">
        <v>22</v>
      </c>
      <c r="E12" s="114"/>
      <c r="F12" s="101" t="s">
        <v>23</v>
      </c>
      <c r="G12" s="113"/>
      <c r="H12" s="131"/>
    </row>
    <row r="13" spans="2:8" ht="22.5">
      <c r="B13" s="225">
        <v>1.02</v>
      </c>
      <c r="C13" s="227">
        <v>44678</v>
      </c>
      <c r="D13" s="101" t="s">
        <v>24</v>
      </c>
      <c r="E13" s="114"/>
      <c r="F13" s="101" t="s">
        <v>25</v>
      </c>
      <c r="G13" s="113"/>
      <c r="H13" s="131"/>
    </row>
    <row r="14" spans="2:8" ht="22.5">
      <c r="B14" s="226"/>
      <c r="C14" s="228"/>
      <c r="D14" s="101" t="s">
        <v>26</v>
      </c>
      <c r="E14" s="114"/>
      <c r="F14" s="101" t="s">
        <v>27</v>
      </c>
      <c r="G14" s="113"/>
      <c r="H14" s="131"/>
    </row>
    <row r="15" spans="2:8" ht="56.25">
      <c r="B15" s="165">
        <v>1.03</v>
      </c>
      <c r="C15" s="166">
        <v>44704</v>
      </c>
      <c r="D15" s="167" t="s">
        <v>28</v>
      </c>
      <c r="E15" s="168"/>
      <c r="F15" s="168"/>
      <c r="G15" s="165"/>
      <c r="H15" s="165"/>
    </row>
    <row r="16" spans="2:8" ht="101.25">
      <c r="B16" s="165">
        <v>1.04</v>
      </c>
      <c r="C16" s="166">
        <v>44707</v>
      </c>
      <c r="D16" s="167" t="s">
        <v>29</v>
      </c>
      <c r="E16" s="168"/>
      <c r="F16" s="168" t="s">
        <v>30</v>
      </c>
      <c r="G16" s="165"/>
      <c r="H16" s="165"/>
    </row>
    <row r="17" spans="2:8" ht="22.5">
      <c r="B17" s="165">
        <v>1.05</v>
      </c>
      <c r="C17" s="166">
        <v>44719</v>
      </c>
      <c r="D17" s="167" t="s">
        <v>31</v>
      </c>
      <c r="E17" s="168"/>
      <c r="F17" s="168" t="s">
        <v>32</v>
      </c>
      <c r="G17" s="165"/>
      <c r="H17" s="165"/>
    </row>
    <row r="18" spans="2:8">
      <c r="B18" s="165">
        <v>1.06</v>
      </c>
      <c r="C18" s="166">
        <v>44819</v>
      </c>
      <c r="D18" s="167" t="s">
        <v>33</v>
      </c>
      <c r="E18" s="168"/>
      <c r="F18" s="168"/>
      <c r="G18" s="165"/>
      <c r="H18" s="165"/>
    </row>
    <row r="19" spans="2:8" ht="15.75" customHeight="1"/>
    <row r="20" spans="2:8" ht="15.75" customHeight="1"/>
    <row r="21" spans="2:8" ht="15.75" customHeight="1"/>
    <row r="22" spans="2:8" ht="15.75" customHeight="1"/>
    <row r="23" spans="2:8" ht="15.75" customHeight="1"/>
    <row r="24" spans="2:8" ht="15.75" customHeight="1"/>
    <row r="25" spans="2:8" ht="15.75" customHeight="1"/>
    <row r="26" spans="2:8" ht="15.75" customHeight="1"/>
    <row r="27" spans="2:8" ht="15.75" customHeight="1"/>
    <row r="28" spans="2:8" ht="15.75" customHeight="1"/>
    <row r="29" spans="2:8" ht="15.75" customHeight="1"/>
    <row r="30" spans="2:8" ht="15.75" customHeight="1"/>
    <row r="31" spans="2:8" ht="15.75" customHeight="1"/>
    <row r="32" spans="2:8" ht="15.75" customHeight="1"/>
  </sheetData>
  <mergeCells count="3">
    <mergeCell ref="B2:H2"/>
    <mergeCell ref="B13:B14"/>
    <mergeCell ref="C13:C14"/>
  </mergeCells>
  <phoneticPr fontId="27" type="noConversion"/>
  <pageMargins left="0.7086111307144165" right="0.7086111307144165" top="0.74750000238418579" bottom="0.74750000238418579" header="0.31486111879348755" footer="0.31486111879348755"/>
  <pageSetup paperSize="9" scale="73" fitToHeight="0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E86"/>
  <sheetViews>
    <sheetView showGridLines="0" view="pageBreakPreview" zoomScaleNormal="100" zoomScaleSheetLayoutView="100" workbookViewId="0">
      <pane xSplit="3" ySplit="4" topLeftCell="G64" activePane="bottomRight" state="frozen"/>
      <selection pane="bottomRight" activeCell="O74" sqref="O74"/>
      <selection pane="bottomLeft"/>
      <selection pane="topRight"/>
    </sheetView>
  </sheetViews>
  <sheetFormatPr defaultColWidth="8.25" defaultRowHeight="11.25"/>
  <cols>
    <col min="1" max="1" width="4.75" style="4" hidden="1" customWidth="1"/>
    <col min="2" max="2" width="10.25" style="5" bestFit="1" customWidth="1"/>
    <col min="3" max="3" width="29.5" style="5" bestFit="1" customWidth="1"/>
    <col min="4" max="4" width="8.25" style="3"/>
    <col min="5" max="5" width="8.25" style="5"/>
    <col min="6" max="6" width="9.75" style="5" bestFit="1" customWidth="1"/>
    <col min="7" max="7" width="16.625" style="4" bestFit="1" customWidth="1"/>
    <col min="8" max="8" width="8.25" style="3"/>
    <col min="9" max="9" width="8.25" style="4"/>
    <col min="10" max="29" width="8.25" style="3"/>
    <col min="30" max="30" width="4.25" style="3" bestFit="1" customWidth="1"/>
    <col min="31" max="31" width="3.375" style="3" customWidth="1"/>
    <col min="32" max="16384" width="8.25" style="3"/>
  </cols>
  <sheetData>
    <row r="1" spans="1:31" s="5" customFormat="1" ht="11.25" customHeight="1">
      <c r="A1" s="236"/>
      <c r="B1" s="232" t="s">
        <v>34</v>
      </c>
      <c r="C1" s="232" t="s">
        <v>35</v>
      </c>
      <c r="D1" s="232" t="s">
        <v>36</v>
      </c>
      <c r="E1" s="232" t="s">
        <v>37</v>
      </c>
      <c r="F1" s="232" t="s">
        <v>38</v>
      </c>
      <c r="G1" s="232" t="s">
        <v>39</v>
      </c>
      <c r="H1" s="233" t="s">
        <v>40</v>
      </c>
      <c r="I1" s="232" t="s">
        <v>41</v>
      </c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236" t="s">
        <v>42</v>
      </c>
      <c r="AD1" s="236" t="s">
        <v>7</v>
      </c>
      <c r="AE1" s="229"/>
    </row>
    <row r="2" spans="1:31" s="5" customFormat="1">
      <c r="A2" s="237"/>
      <c r="B2" s="232"/>
      <c r="C2" s="232"/>
      <c r="D2" s="232"/>
      <c r="E2" s="232"/>
      <c r="F2" s="232"/>
      <c r="G2" s="232"/>
      <c r="H2" s="234"/>
      <c r="I2" s="232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237"/>
      <c r="AD2" s="237"/>
      <c r="AE2" s="230"/>
    </row>
    <row r="3" spans="1:31" s="5" customFormat="1" ht="170.25">
      <c r="A3" s="238"/>
      <c r="B3" s="232"/>
      <c r="C3" s="232"/>
      <c r="D3" s="232"/>
      <c r="E3" s="232"/>
      <c r="F3" s="232"/>
      <c r="G3" s="232"/>
      <c r="H3" s="235"/>
      <c r="I3" s="232"/>
      <c r="J3" s="104" t="s">
        <v>43</v>
      </c>
      <c r="K3" s="17" t="s">
        <v>44</v>
      </c>
      <c r="L3" s="17" t="s">
        <v>45</v>
      </c>
      <c r="M3" s="17" t="s">
        <v>46</v>
      </c>
      <c r="N3" s="17" t="s">
        <v>47</v>
      </c>
      <c r="O3" s="104" t="s">
        <v>48</v>
      </c>
      <c r="P3" s="17" t="s">
        <v>49</v>
      </c>
      <c r="Q3" s="17" t="s">
        <v>50</v>
      </c>
      <c r="R3" s="104" t="s">
        <v>51</v>
      </c>
      <c r="S3" s="17" t="s">
        <v>52</v>
      </c>
      <c r="T3" s="17" t="s">
        <v>53</v>
      </c>
      <c r="U3" s="17" t="s">
        <v>54</v>
      </c>
      <c r="V3" s="17" t="s">
        <v>55</v>
      </c>
      <c r="W3" s="17" t="s">
        <v>56</v>
      </c>
      <c r="X3" s="17" t="s">
        <v>57</v>
      </c>
      <c r="Y3" s="17" t="s">
        <v>58</v>
      </c>
      <c r="Z3" s="17" t="s">
        <v>59</v>
      </c>
      <c r="AA3" s="17" t="s">
        <v>60</v>
      </c>
      <c r="AB3" s="17" t="s">
        <v>61</v>
      </c>
      <c r="AC3" s="238"/>
      <c r="AD3" s="238"/>
      <c r="AE3" s="231"/>
    </row>
    <row r="4" spans="1:31" s="5" customFormat="1">
      <c r="A4" s="16"/>
      <c r="B4" s="15"/>
      <c r="C4" s="15"/>
      <c r="D4" s="14"/>
      <c r="E4" s="15"/>
      <c r="F4" s="15"/>
      <c r="G4" s="14"/>
      <c r="H4" s="14"/>
      <c r="I4" s="13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7"/>
      <c r="AD4" s="6"/>
    </row>
    <row r="5" spans="1:31" ht="22.5">
      <c r="A5" s="11"/>
      <c r="B5" s="28" t="str">
        <f>HYPERLINK("#"&amp;ADDRESS(MATCH($AE5,인터페이스정의서!$A:$A,0),1,,,"인터페이스정의서"),$AE5)</f>
        <v>IFMIDIP1000</v>
      </c>
      <c r="C5" s="28" t="s">
        <v>62</v>
      </c>
      <c r="D5" s="8" t="s">
        <v>63</v>
      </c>
      <c r="E5" s="28" t="s">
        <v>62</v>
      </c>
      <c r="F5" s="29" t="s">
        <v>64</v>
      </c>
      <c r="G5" s="8" t="s">
        <v>65</v>
      </c>
      <c r="H5" s="8" t="s">
        <v>66</v>
      </c>
      <c r="I5" s="8" t="s">
        <v>67</v>
      </c>
      <c r="J5" s="10" t="s">
        <v>68</v>
      </c>
      <c r="K5" s="10" t="s">
        <v>68</v>
      </c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 t="s">
        <v>68</v>
      </c>
      <c r="AC5" s="35">
        <f>SUMIF(인터페이스정의서!A:A,B5,인터페이스정의서!G:G)</f>
        <v>10</v>
      </c>
      <c r="AD5" s="6"/>
      <c r="AE5" s="3" t="s">
        <v>69</v>
      </c>
    </row>
    <row r="6" spans="1:31">
      <c r="A6" s="11"/>
      <c r="B6" s="10" t="str">
        <f>HYPERLINK("#"&amp;ADDRESS(MATCH($AE6,인터페이스정의서!$A:$A,0),1,,,"인터페이스정의서"),$AE6)</f>
        <v>F101S</v>
      </c>
      <c r="C6" s="10" t="s">
        <v>70</v>
      </c>
      <c r="D6" s="8" t="s">
        <v>63</v>
      </c>
      <c r="E6" s="10"/>
      <c r="F6" s="9" t="s">
        <v>71</v>
      </c>
      <c r="G6" s="8" t="s">
        <v>72</v>
      </c>
      <c r="H6" s="8" t="s">
        <v>73</v>
      </c>
      <c r="I6" s="8" t="s">
        <v>74</v>
      </c>
      <c r="J6" s="10" t="s">
        <v>68</v>
      </c>
      <c r="K6" s="10" t="s">
        <v>68</v>
      </c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 t="s">
        <v>68</v>
      </c>
      <c r="AC6" s="35">
        <v>80</v>
      </c>
      <c r="AD6" s="6"/>
      <c r="AE6" s="3" t="s">
        <v>75</v>
      </c>
    </row>
    <row r="7" spans="1:31">
      <c r="A7" s="11"/>
      <c r="B7" s="10" t="str">
        <f>HYPERLINK("#"&amp;ADDRESS(MATCH($AE7,인터페이스정의서!$A:$A,0),1,,,"인터페이스정의서"),$AE7)</f>
        <v>F101S</v>
      </c>
      <c r="C7" s="10" t="s">
        <v>76</v>
      </c>
      <c r="D7" s="8" t="s">
        <v>63</v>
      </c>
      <c r="E7" s="10"/>
      <c r="F7" s="9" t="s">
        <v>71</v>
      </c>
      <c r="G7" s="8" t="s">
        <v>77</v>
      </c>
      <c r="H7" s="8" t="s">
        <v>73</v>
      </c>
      <c r="I7" s="8" t="s">
        <v>78</v>
      </c>
      <c r="J7" s="10" t="s">
        <v>68</v>
      </c>
      <c r="K7" s="10" t="s">
        <v>68</v>
      </c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 t="s">
        <v>68</v>
      </c>
      <c r="AC7" s="35">
        <v>80</v>
      </c>
      <c r="AD7" s="6"/>
      <c r="AE7" s="3" t="s">
        <v>75</v>
      </c>
    </row>
    <row r="8" spans="1:31">
      <c r="A8" s="11"/>
      <c r="B8" s="10" t="str">
        <f>HYPERLINK("#"&amp;ADDRESS(MATCH($AE8,인터페이스정의서!$A:$A,0),1,,,"인터페이스정의서"),$AE8)</f>
        <v>F101S</v>
      </c>
      <c r="C8" s="10" t="s">
        <v>79</v>
      </c>
      <c r="D8" s="8" t="s">
        <v>63</v>
      </c>
      <c r="E8" s="10"/>
      <c r="F8" s="9" t="s">
        <v>71</v>
      </c>
      <c r="G8" s="8" t="s">
        <v>80</v>
      </c>
      <c r="H8" s="8" t="s">
        <v>73</v>
      </c>
      <c r="I8" s="8" t="s">
        <v>81</v>
      </c>
      <c r="J8" s="10" t="s">
        <v>68</v>
      </c>
      <c r="K8" s="10" t="s">
        <v>68</v>
      </c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 t="s">
        <v>68</v>
      </c>
      <c r="AC8" s="35">
        <v>80</v>
      </c>
      <c r="AD8" s="6"/>
      <c r="AE8" s="3" t="s">
        <v>75</v>
      </c>
    </row>
    <row r="9" spans="1:31">
      <c r="A9" s="11"/>
      <c r="B9" s="10" t="str">
        <f>HYPERLINK("#"&amp;ADDRESS(MATCH($AE9,인터페이스정의서!$A:$A,0),1,,,"인터페이스정의서"),$AE9)</f>
        <v>F101S</v>
      </c>
      <c r="C9" s="10" t="s">
        <v>82</v>
      </c>
      <c r="D9" s="8" t="s">
        <v>63</v>
      </c>
      <c r="E9" s="10"/>
      <c r="F9" s="9" t="s">
        <v>71</v>
      </c>
      <c r="G9" s="8" t="s">
        <v>83</v>
      </c>
      <c r="H9" s="8" t="s">
        <v>73</v>
      </c>
      <c r="I9" s="8" t="s">
        <v>84</v>
      </c>
      <c r="J9" s="10" t="s">
        <v>68</v>
      </c>
      <c r="K9" s="10" t="s">
        <v>68</v>
      </c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35">
        <v>80</v>
      </c>
      <c r="AD9" s="6"/>
      <c r="AE9" s="3" t="s">
        <v>75</v>
      </c>
    </row>
    <row r="10" spans="1:31">
      <c r="A10" s="11"/>
      <c r="B10" s="10" t="str">
        <f>HYPERLINK("#"&amp;ADDRESS(MATCH($AE10,인터페이스정의서!$A:$A,0),1,,,"인터페이스정의서"),$AE10)</f>
        <v>F101S</v>
      </c>
      <c r="C10" s="10" t="s">
        <v>85</v>
      </c>
      <c r="D10" s="8" t="s">
        <v>63</v>
      </c>
      <c r="E10" s="10"/>
      <c r="F10" s="9" t="s">
        <v>71</v>
      </c>
      <c r="G10" s="132" t="s">
        <v>86</v>
      </c>
      <c r="H10" s="8" t="s">
        <v>73</v>
      </c>
      <c r="I10" s="8" t="s">
        <v>87</v>
      </c>
      <c r="J10" s="10" t="s">
        <v>68</v>
      </c>
      <c r="K10" s="10" t="s">
        <v>68</v>
      </c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35">
        <v>80</v>
      </c>
      <c r="AD10" s="6"/>
      <c r="AE10" s="3" t="s">
        <v>75</v>
      </c>
    </row>
    <row r="11" spans="1:31">
      <c r="A11" s="11"/>
      <c r="B11" s="10" t="str">
        <f>HYPERLINK("#"&amp;ADDRESS(MATCH($AE11,인터페이스정의서!$A:$A,0),1,,,"인터페이스정의서"),$AE11)</f>
        <v>F201S</v>
      </c>
      <c r="C11" s="10" t="s">
        <v>88</v>
      </c>
      <c r="D11" s="8" t="s">
        <v>63</v>
      </c>
      <c r="E11" s="10"/>
      <c r="F11" s="174" t="s">
        <v>89</v>
      </c>
      <c r="G11" s="8" t="s">
        <v>90</v>
      </c>
      <c r="H11" s="132" t="s">
        <v>91</v>
      </c>
      <c r="I11" s="8" t="s">
        <v>74</v>
      </c>
      <c r="J11" s="10" t="s">
        <v>68</v>
      </c>
      <c r="K11" s="10" t="s">
        <v>68</v>
      </c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35">
        <v>40</v>
      </c>
      <c r="AD11" s="6"/>
      <c r="AE11" s="3" t="s">
        <v>92</v>
      </c>
    </row>
    <row r="12" spans="1:31">
      <c r="A12" s="11"/>
      <c r="B12" s="10" t="str">
        <f>HYPERLINK("#"&amp;ADDRESS(MATCH($AE12,인터페이스정의서!$A:$A,0),1,,,"인터페이스정의서"),$AE12)</f>
        <v>F201S</v>
      </c>
      <c r="C12" s="10" t="s">
        <v>93</v>
      </c>
      <c r="D12" s="8" t="s">
        <v>63</v>
      </c>
      <c r="E12" s="10"/>
      <c r="F12" s="174" t="s">
        <v>89</v>
      </c>
      <c r="G12" s="8" t="s">
        <v>94</v>
      </c>
      <c r="H12" s="132" t="s">
        <v>91</v>
      </c>
      <c r="I12" s="8" t="s">
        <v>78</v>
      </c>
      <c r="J12" s="10" t="s">
        <v>68</v>
      </c>
      <c r="K12" s="10" t="s">
        <v>68</v>
      </c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35">
        <v>40</v>
      </c>
      <c r="AD12" s="6"/>
      <c r="AE12" s="3" t="s">
        <v>92</v>
      </c>
    </row>
    <row r="13" spans="1:31">
      <c r="A13" s="11"/>
      <c r="B13" s="10" t="str">
        <f>HYPERLINK("#"&amp;ADDRESS(MATCH($AE13,인터페이스정의서!$A:$A,0),1,,,"인터페이스정의서"),$AE13)</f>
        <v>F201S</v>
      </c>
      <c r="C13" s="10" t="s">
        <v>95</v>
      </c>
      <c r="D13" s="8" t="s">
        <v>63</v>
      </c>
      <c r="E13" s="10"/>
      <c r="F13" s="174" t="s">
        <v>89</v>
      </c>
      <c r="G13" s="8" t="s">
        <v>96</v>
      </c>
      <c r="H13" s="132" t="s">
        <v>91</v>
      </c>
      <c r="I13" s="8" t="s">
        <v>81</v>
      </c>
      <c r="J13" s="10" t="s">
        <v>68</v>
      </c>
      <c r="K13" s="10" t="s">
        <v>68</v>
      </c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35">
        <v>40</v>
      </c>
      <c r="AD13" s="6"/>
      <c r="AE13" s="3" t="s">
        <v>92</v>
      </c>
    </row>
    <row r="14" spans="1:31">
      <c r="A14" s="11"/>
      <c r="B14" s="10" t="str">
        <f>HYPERLINK("#"&amp;ADDRESS(MATCH($AE14,인터페이스정의서!$A:$A,0),1,,,"인터페이스정의서"),$AE14)</f>
        <v>F201S</v>
      </c>
      <c r="C14" s="10" t="s">
        <v>97</v>
      </c>
      <c r="D14" s="8" t="s">
        <v>63</v>
      </c>
      <c r="E14" s="10"/>
      <c r="F14" s="174" t="s">
        <v>89</v>
      </c>
      <c r="G14" s="8" t="s">
        <v>98</v>
      </c>
      <c r="H14" s="132" t="s">
        <v>91</v>
      </c>
      <c r="I14" s="8" t="s">
        <v>84</v>
      </c>
      <c r="J14" s="10" t="s">
        <v>68</v>
      </c>
      <c r="K14" s="10" t="s">
        <v>68</v>
      </c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35">
        <v>40</v>
      </c>
      <c r="AD14" s="6"/>
      <c r="AE14" s="3" t="s">
        <v>92</v>
      </c>
    </row>
    <row r="15" spans="1:31">
      <c r="A15" s="11"/>
      <c r="B15" s="10" t="str">
        <f>HYPERLINK("#"&amp;ADDRESS(MATCH($AE15,인터페이스정의서!$A:$A,0),1,,,"인터페이스정의서"),$AE15)</f>
        <v>F201S</v>
      </c>
      <c r="C15" s="10" t="s">
        <v>99</v>
      </c>
      <c r="D15" s="8" t="s">
        <v>63</v>
      </c>
      <c r="E15" s="10"/>
      <c r="F15" s="174" t="s">
        <v>89</v>
      </c>
      <c r="G15" s="132" t="s">
        <v>100</v>
      </c>
      <c r="H15" s="132" t="s">
        <v>91</v>
      </c>
      <c r="I15" s="8" t="s">
        <v>87</v>
      </c>
      <c r="J15" s="10" t="s">
        <v>68</v>
      </c>
      <c r="K15" s="10" t="s">
        <v>68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35">
        <v>40</v>
      </c>
      <c r="AD15" s="6"/>
      <c r="AE15" s="3" t="s">
        <v>92</v>
      </c>
    </row>
    <row r="16" spans="1:31">
      <c r="A16" s="11"/>
      <c r="B16" s="10" t="str">
        <f>HYPERLINK("#"&amp;ADDRESS(MATCH($AE16,인터페이스정의서!$A:$A,0),1,,,"인터페이스정의서"),$AE16)</f>
        <v>F301S</v>
      </c>
      <c r="C16" s="10" t="s">
        <v>101</v>
      </c>
      <c r="D16" s="8" t="s">
        <v>63</v>
      </c>
      <c r="E16" s="10"/>
      <c r="F16" s="174" t="s">
        <v>89</v>
      </c>
      <c r="G16" s="8" t="s">
        <v>102</v>
      </c>
      <c r="H16" s="132" t="s">
        <v>91</v>
      </c>
      <c r="I16" s="8" t="s">
        <v>74</v>
      </c>
      <c r="J16" s="10" t="s">
        <v>68</v>
      </c>
      <c r="K16" s="10" t="s">
        <v>68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35">
        <v>40</v>
      </c>
      <c r="AD16" s="6"/>
      <c r="AE16" s="3" t="s">
        <v>103</v>
      </c>
    </row>
    <row r="17" spans="1:31">
      <c r="A17" s="11"/>
      <c r="B17" s="10" t="str">
        <f>HYPERLINK("#"&amp;ADDRESS(MATCH($AE17,인터페이스정의서!$A:$A,0),1,,,"인터페이스정의서"),$AE17)</f>
        <v>F301S</v>
      </c>
      <c r="C17" s="10" t="s">
        <v>104</v>
      </c>
      <c r="D17" s="8" t="s">
        <v>63</v>
      </c>
      <c r="E17" s="10"/>
      <c r="F17" s="174" t="s">
        <v>89</v>
      </c>
      <c r="G17" s="8" t="s">
        <v>105</v>
      </c>
      <c r="H17" s="132" t="s">
        <v>91</v>
      </c>
      <c r="I17" s="8" t="s">
        <v>78</v>
      </c>
      <c r="J17" s="10" t="s">
        <v>68</v>
      </c>
      <c r="K17" s="10" t="s">
        <v>68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35">
        <v>40</v>
      </c>
      <c r="AD17" s="6"/>
      <c r="AE17" s="3" t="s">
        <v>103</v>
      </c>
    </row>
    <row r="18" spans="1:31">
      <c r="A18" s="11"/>
      <c r="B18" s="10" t="str">
        <f>HYPERLINK("#"&amp;ADDRESS(MATCH($AE18,인터페이스정의서!$A:$A,0),1,,,"인터페이스정의서"),$AE18)</f>
        <v>F301S</v>
      </c>
      <c r="C18" s="10" t="s">
        <v>106</v>
      </c>
      <c r="D18" s="8" t="s">
        <v>63</v>
      </c>
      <c r="E18" s="10"/>
      <c r="F18" s="174" t="s">
        <v>89</v>
      </c>
      <c r="G18" s="8" t="s">
        <v>107</v>
      </c>
      <c r="H18" s="132" t="s">
        <v>91</v>
      </c>
      <c r="I18" s="8" t="s">
        <v>81</v>
      </c>
      <c r="J18" s="10" t="s">
        <v>68</v>
      </c>
      <c r="K18" s="10" t="s">
        <v>68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35">
        <v>40</v>
      </c>
      <c r="AD18" s="6"/>
      <c r="AE18" s="3" t="s">
        <v>103</v>
      </c>
    </row>
    <row r="19" spans="1:31">
      <c r="A19" s="11"/>
      <c r="B19" s="10" t="str">
        <f>HYPERLINK("#"&amp;ADDRESS(MATCH($AE19,인터페이스정의서!$A:$A,0),1,,,"인터페이스정의서"),$AE19)</f>
        <v>F301S</v>
      </c>
      <c r="C19" s="10" t="s">
        <v>108</v>
      </c>
      <c r="D19" s="8" t="s">
        <v>63</v>
      </c>
      <c r="E19" s="10"/>
      <c r="F19" s="174" t="s">
        <v>89</v>
      </c>
      <c r="G19" s="8" t="s">
        <v>109</v>
      </c>
      <c r="H19" s="132" t="s">
        <v>91</v>
      </c>
      <c r="I19" s="8" t="s">
        <v>84</v>
      </c>
      <c r="J19" s="10" t="s">
        <v>68</v>
      </c>
      <c r="K19" s="10" t="s">
        <v>68</v>
      </c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35">
        <v>40</v>
      </c>
      <c r="AD19" s="6"/>
      <c r="AE19" s="3" t="s">
        <v>103</v>
      </c>
    </row>
    <row r="20" spans="1:31">
      <c r="A20" s="11"/>
      <c r="B20" s="10" t="str">
        <f>HYPERLINK("#"&amp;ADDRESS(MATCH($AE20,인터페이스정의서!$A:$A,0),1,,,"인터페이스정의서"),$AE20)</f>
        <v>F301S</v>
      </c>
      <c r="C20" s="10" t="s">
        <v>110</v>
      </c>
      <c r="D20" s="8" t="s">
        <v>63</v>
      </c>
      <c r="E20" s="10"/>
      <c r="F20" s="174" t="s">
        <v>89</v>
      </c>
      <c r="G20" s="132" t="s">
        <v>111</v>
      </c>
      <c r="H20" s="132" t="s">
        <v>91</v>
      </c>
      <c r="I20" s="8" t="s">
        <v>87</v>
      </c>
      <c r="J20" s="10" t="s">
        <v>68</v>
      </c>
      <c r="K20" s="10" t="s">
        <v>68</v>
      </c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35">
        <v>40</v>
      </c>
      <c r="AD20" s="6"/>
      <c r="AE20" s="3" t="s">
        <v>103</v>
      </c>
    </row>
    <row r="21" spans="1:31">
      <c r="A21" s="11"/>
      <c r="B21" s="10" t="str">
        <f>HYPERLINK("#"&amp;ADDRESS(MATCH($AE21,인터페이스정의서!$A:$A,0),1,,,"인터페이스정의서"),$AE21)</f>
        <v>F401S</v>
      </c>
      <c r="C21" s="10" t="s">
        <v>112</v>
      </c>
      <c r="D21" s="8" t="s">
        <v>63</v>
      </c>
      <c r="E21" s="10"/>
      <c r="F21" s="174" t="s">
        <v>89</v>
      </c>
      <c r="G21" s="8" t="s">
        <v>113</v>
      </c>
      <c r="H21" s="132" t="s">
        <v>91</v>
      </c>
      <c r="I21" s="8" t="s">
        <v>74</v>
      </c>
      <c r="J21" s="10" t="s">
        <v>68</v>
      </c>
      <c r="K21" s="10" t="s">
        <v>68</v>
      </c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s">
        <v>68</v>
      </c>
      <c r="AC21" s="35">
        <v>60</v>
      </c>
      <c r="AD21" s="6"/>
      <c r="AE21" s="3" t="s">
        <v>114</v>
      </c>
    </row>
    <row r="22" spans="1:31">
      <c r="A22" s="11"/>
      <c r="B22" s="10" t="str">
        <f>HYPERLINK("#"&amp;ADDRESS(MATCH($AE22,인터페이스정의서!$A:$A,0),1,,,"인터페이스정의서"),$AE22)</f>
        <v>F401S</v>
      </c>
      <c r="C22" s="10" t="s">
        <v>115</v>
      </c>
      <c r="D22" s="8" t="s">
        <v>63</v>
      </c>
      <c r="E22" s="10"/>
      <c r="F22" s="174" t="s">
        <v>89</v>
      </c>
      <c r="G22" s="8" t="s">
        <v>116</v>
      </c>
      <c r="H22" s="132" t="s">
        <v>91</v>
      </c>
      <c r="I22" s="8" t="s">
        <v>78</v>
      </c>
      <c r="J22" s="10" t="s">
        <v>68</v>
      </c>
      <c r="K22" s="10" t="s">
        <v>68</v>
      </c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s">
        <v>68</v>
      </c>
      <c r="AC22" s="35">
        <v>60</v>
      </c>
      <c r="AD22" s="6"/>
      <c r="AE22" s="3" t="s">
        <v>114</v>
      </c>
    </row>
    <row r="23" spans="1:31">
      <c r="A23" s="11"/>
      <c r="B23" s="10" t="str">
        <f>HYPERLINK("#"&amp;ADDRESS(MATCH($AE23,인터페이스정의서!$A:$A,0),1,,,"인터페이스정의서"),$AE23)</f>
        <v>F401S</v>
      </c>
      <c r="C23" s="10" t="s">
        <v>117</v>
      </c>
      <c r="D23" s="8" t="s">
        <v>63</v>
      </c>
      <c r="E23" s="10"/>
      <c r="F23" s="174" t="s">
        <v>89</v>
      </c>
      <c r="G23" s="8" t="s">
        <v>118</v>
      </c>
      <c r="H23" s="132" t="s">
        <v>91</v>
      </c>
      <c r="I23" s="8" t="s">
        <v>81</v>
      </c>
      <c r="J23" s="10" t="s">
        <v>68</v>
      </c>
      <c r="K23" s="10" t="s">
        <v>68</v>
      </c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s">
        <v>68</v>
      </c>
      <c r="AC23" s="35">
        <v>60</v>
      </c>
      <c r="AD23" s="6"/>
      <c r="AE23" s="3" t="s">
        <v>114</v>
      </c>
    </row>
    <row r="24" spans="1:31">
      <c r="A24" s="11"/>
      <c r="B24" s="10" t="str">
        <f>HYPERLINK("#"&amp;ADDRESS(MATCH($AE24,인터페이스정의서!$A:$A,0),1,,,"인터페이스정의서"),$AE24)</f>
        <v>F401S</v>
      </c>
      <c r="C24" s="10" t="s">
        <v>119</v>
      </c>
      <c r="D24" s="8" t="s">
        <v>63</v>
      </c>
      <c r="E24" s="10"/>
      <c r="F24" s="174" t="s">
        <v>89</v>
      </c>
      <c r="G24" s="8" t="s">
        <v>120</v>
      </c>
      <c r="H24" s="132" t="s">
        <v>91</v>
      </c>
      <c r="I24" s="8" t="s">
        <v>84</v>
      </c>
      <c r="J24" s="10" t="s">
        <v>68</v>
      </c>
      <c r="K24" s="10" t="s">
        <v>68</v>
      </c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35">
        <v>60</v>
      </c>
      <c r="AD24" s="6"/>
      <c r="AE24" s="3" t="s">
        <v>114</v>
      </c>
    </row>
    <row r="25" spans="1:31">
      <c r="A25" s="11"/>
      <c r="B25" s="10" t="str">
        <f>HYPERLINK("#"&amp;ADDRESS(MATCH($AE25,인터페이스정의서!$A:$A,0),1,,,"인터페이스정의서"),$AE25)</f>
        <v>F401S</v>
      </c>
      <c r="C25" s="10" t="s">
        <v>121</v>
      </c>
      <c r="D25" s="8" t="s">
        <v>63</v>
      </c>
      <c r="E25" s="10"/>
      <c r="F25" s="174" t="s">
        <v>89</v>
      </c>
      <c r="G25" s="132" t="s">
        <v>122</v>
      </c>
      <c r="H25" s="132" t="s">
        <v>91</v>
      </c>
      <c r="I25" s="8" t="s">
        <v>87</v>
      </c>
      <c r="J25" s="10" t="s">
        <v>68</v>
      </c>
      <c r="K25" s="10" t="s">
        <v>68</v>
      </c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35">
        <v>60</v>
      </c>
      <c r="AD25" s="6"/>
      <c r="AE25" s="3" t="s">
        <v>114</v>
      </c>
    </row>
    <row r="26" spans="1:31">
      <c r="A26" s="11"/>
      <c r="B26" s="10" t="str">
        <f>HYPERLINK("#"&amp;ADDRESS(MATCH($AE26,인터페이스정의서!$A:$A,0),1,,,"인터페이스정의서"),$AE26)</f>
        <v>F501S</v>
      </c>
      <c r="C26" s="10" t="s">
        <v>123</v>
      </c>
      <c r="D26" s="8" t="s">
        <v>63</v>
      </c>
      <c r="E26" s="10"/>
      <c r="F26" s="174" t="s">
        <v>89</v>
      </c>
      <c r="G26" s="8" t="s">
        <v>124</v>
      </c>
      <c r="H26" s="132" t="s">
        <v>91</v>
      </c>
      <c r="I26" s="8" t="s">
        <v>74</v>
      </c>
      <c r="J26" s="10" t="s">
        <v>68</v>
      </c>
      <c r="K26" s="10" t="s">
        <v>68</v>
      </c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35">
        <v>50</v>
      </c>
      <c r="AD26" s="6"/>
      <c r="AE26" s="3" t="s">
        <v>125</v>
      </c>
    </row>
    <row r="27" spans="1:31">
      <c r="A27" s="11"/>
      <c r="B27" s="10" t="str">
        <f>HYPERLINK("#"&amp;ADDRESS(MATCH($AE27,인터페이스정의서!$A:$A,0),1,,,"인터페이스정의서"),$AE27)</f>
        <v>F501S</v>
      </c>
      <c r="C27" s="10" t="s">
        <v>126</v>
      </c>
      <c r="D27" s="8" t="s">
        <v>63</v>
      </c>
      <c r="E27" s="10"/>
      <c r="F27" s="174" t="s">
        <v>89</v>
      </c>
      <c r="G27" s="8" t="s">
        <v>127</v>
      </c>
      <c r="H27" s="132" t="s">
        <v>91</v>
      </c>
      <c r="I27" s="8" t="s">
        <v>78</v>
      </c>
      <c r="J27" s="10" t="s">
        <v>68</v>
      </c>
      <c r="K27" s="10" t="s">
        <v>68</v>
      </c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35">
        <v>50</v>
      </c>
      <c r="AD27" s="6"/>
      <c r="AE27" s="3" t="s">
        <v>125</v>
      </c>
    </row>
    <row r="28" spans="1:31">
      <c r="A28" s="11"/>
      <c r="B28" s="10" t="str">
        <f>HYPERLINK("#"&amp;ADDRESS(MATCH($AE28,인터페이스정의서!$A:$A,0),1,,,"인터페이스정의서"),$AE28)</f>
        <v>F501S</v>
      </c>
      <c r="C28" s="10" t="s">
        <v>128</v>
      </c>
      <c r="D28" s="8" t="s">
        <v>63</v>
      </c>
      <c r="E28" s="10"/>
      <c r="F28" s="174" t="s">
        <v>89</v>
      </c>
      <c r="G28" s="8" t="s">
        <v>129</v>
      </c>
      <c r="H28" s="132" t="s">
        <v>91</v>
      </c>
      <c r="I28" s="8" t="s">
        <v>81</v>
      </c>
      <c r="J28" s="10" t="s">
        <v>68</v>
      </c>
      <c r="K28" s="10" t="s">
        <v>68</v>
      </c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35">
        <v>50</v>
      </c>
      <c r="AD28" s="6"/>
      <c r="AE28" s="3" t="s">
        <v>125</v>
      </c>
    </row>
    <row r="29" spans="1:31">
      <c r="A29" s="11"/>
      <c r="B29" s="10" t="str">
        <f>HYPERLINK("#"&amp;ADDRESS(MATCH($AE29,인터페이스정의서!$A:$A,0),1,,,"인터페이스정의서"),$AE29)</f>
        <v>F501S</v>
      </c>
      <c r="C29" s="10" t="s">
        <v>130</v>
      </c>
      <c r="D29" s="8" t="s">
        <v>63</v>
      </c>
      <c r="E29" s="10"/>
      <c r="F29" s="174" t="s">
        <v>89</v>
      </c>
      <c r="G29" s="8" t="s">
        <v>131</v>
      </c>
      <c r="H29" s="132" t="s">
        <v>91</v>
      </c>
      <c r="I29" s="8" t="s">
        <v>84</v>
      </c>
      <c r="J29" s="10" t="s">
        <v>68</v>
      </c>
      <c r="K29" s="10" t="s">
        <v>68</v>
      </c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35">
        <v>50</v>
      </c>
      <c r="AD29" s="6"/>
      <c r="AE29" s="3" t="s">
        <v>125</v>
      </c>
    </row>
    <row r="30" spans="1:31">
      <c r="A30" s="11"/>
      <c r="B30" s="10" t="str">
        <f>HYPERLINK("#"&amp;ADDRESS(MATCH($AE30,인터페이스정의서!$A:$A,0),1,,,"인터페이스정의서"),$AE30)</f>
        <v>F501S</v>
      </c>
      <c r="C30" s="10" t="s">
        <v>132</v>
      </c>
      <c r="D30" s="8" t="s">
        <v>63</v>
      </c>
      <c r="E30" s="10"/>
      <c r="F30" s="174" t="s">
        <v>89</v>
      </c>
      <c r="G30" s="132" t="s">
        <v>133</v>
      </c>
      <c r="H30" s="132" t="s">
        <v>91</v>
      </c>
      <c r="I30" s="8" t="s">
        <v>87</v>
      </c>
      <c r="J30" s="10" t="s">
        <v>68</v>
      </c>
      <c r="K30" s="10" t="s">
        <v>68</v>
      </c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35">
        <v>50</v>
      </c>
      <c r="AD30" s="6"/>
      <c r="AE30" s="3" t="s">
        <v>125</v>
      </c>
    </row>
    <row r="31" spans="1:31">
      <c r="A31" s="11"/>
      <c r="B31" s="10" t="str">
        <f>HYPERLINK("#"&amp;ADDRESS(MATCH($AE31,인터페이스정의서!$A:$A,0),1,,,"인터페이스정의서"),$AE31)</f>
        <v>F601S</v>
      </c>
      <c r="C31" s="10" t="s">
        <v>134</v>
      </c>
      <c r="D31" s="8" t="s">
        <v>63</v>
      </c>
      <c r="E31" s="10"/>
      <c r="F31" s="9" t="s">
        <v>71</v>
      </c>
      <c r="G31" s="8" t="s">
        <v>135</v>
      </c>
      <c r="H31" s="8" t="s">
        <v>73</v>
      </c>
      <c r="I31" s="8" t="s">
        <v>74</v>
      </c>
      <c r="J31" s="10" t="s">
        <v>68</v>
      </c>
      <c r="K31" s="10" t="s">
        <v>68</v>
      </c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35">
        <v>100</v>
      </c>
      <c r="AD31" s="6"/>
      <c r="AE31" s="3" t="s">
        <v>136</v>
      </c>
    </row>
    <row r="32" spans="1:31">
      <c r="A32" s="11"/>
      <c r="B32" s="10" t="str">
        <f>HYPERLINK("#"&amp;ADDRESS(MATCH($AE32,인터페이스정의서!$A:$A,0),1,,,"인터페이스정의서"),$AE32)</f>
        <v>F601S</v>
      </c>
      <c r="C32" s="10" t="s">
        <v>137</v>
      </c>
      <c r="D32" s="8" t="s">
        <v>63</v>
      </c>
      <c r="E32" s="10"/>
      <c r="F32" s="9" t="s">
        <v>71</v>
      </c>
      <c r="G32" s="8" t="s">
        <v>138</v>
      </c>
      <c r="H32" s="8" t="s">
        <v>73</v>
      </c>
      <c r="I32" s="8" t="s">
        <v>78</v>
      </c>
      <c r="J32" s="10" t="s">
        <v>68</v>
      </c>
      <c r="K32" s="10" t="s">
        <v>68</v>
      </c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35">
        <v>100</v>
      </c>
      <c r="AD32" s="6"/>
      <c r="AE32" s="3" t="s">
        <v>136</v>
      </c>
    </row>
    <row r="33" spans="1:31" ht="12" thickBot="1">
      <c r="A33" s="11"/>
      <c r="B33" s="121" t="str">
        <f>HYPERLINK("#"&amp;ADDRESS(MATCH($AE33,인터페이스정의서!$A:$A,0),1,,,"인터페이스정의서"),$AE33)</f>
        <v>F601S</v>
      </c>
      <c r="C33" s="121" t="s">
        <v>139</v>
      </c>
      <c r="D33" s="120" t="s">
        <v>63</v>
      </c>
      <c r="E33" s="121"/>
      <c r="F33" s="122" t="s">
        <v>71</v>
      </c>
      <c r="G33" s="120" t="s">
        <v>140</v>
      </c>
      <c r="H33" s="120" t="s">
        <v>73</v>
      </c>
      <c r="I33" s="120" t="s">
        <v>81</v>
      </c>
      <c r="J33" s="121" t="s">
        <v>68</v>
      </c>
      <c r="K33" s="121" t="s">
        <v>68</v>
      </c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3">
        <v>100</v>
      </c>
      <c r="AD33" s="6"/>
      <c r="AE33" s="3" t="s">
        <v>136</v>
      </c>
    </row>
    <row r="34" spans="1:31" ht="12" thickBot="1">
      <c r="A34" s="11"/>
      <c r="B34" s="121" t="str">
        <f>HYPERLINK("#"&amp;ADDRESS(MATCH($AE34,인터페이스정의서!$A:$A,0),1,,,"인터페이스정의서"),$AE34)</f>
        <v>CC000</v>
      </c>
      <c r="C34" s="121" t="s">
        <v>141</v>
      </c>
      <c r="D34" s="120" t="s">
        <v>63</v>
      </c>
      <c r="E34" s="121"/>
      <c r="F34" s="122" t="s">
        <v>142</v>
      </c>
      <c r="G34" s="120" t="s">
        <v>143</v>
      </c>
      <c r="H34" s="120" t="s">
        <v>66</v>
      </c>
      <c r="I34" s="120" t="s">
        <v>74</v>
      </c>
      <c r="J34" s="121" t="s">
        <v>68</v>
      </c>
      <c r="K34" s="121" t="s">
        <v>68</v>
      </c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3">
        <v>50</v>
      </c>
      <c r="AD34" s="6"/>
      <c r="AE34" s="3" t="s">
        <v>144</v>
      </c>
    </row>
    <row r="35" spans="1:31">
      <c r="A35" s="11"/>
      <c r="B35" s="116" t="str">
        <f>HYPERLINK("#"&amp;ADDRESS(MATCH($AE35,인터페이스정의서!$A:$A,0),1,,,"인터페이스정의서"),$AE35)</f>
        <v>BV03S</v>
      </c>
      <c r="C35" s="116" t="s">
        <v>145</v>
      </c>
      <c r="D35" s="81" t="s">
        <v>63</v>
      </c>
      <c r="E35" s="116"/>
      <c r="F35" s="117" t="s">
        <v>142</v>
      </c>
      <c r="G35" s="81" t="s">
        <v>146</v>
      </c>
      <c r="H35" s="81" t="s">
        <v>66</v>
      </c>
      <c r="I35" s="81" t="s">
        <v>74</v>
      </c>
      <c r="J35" s="116"/>
      <c r="K35" s="116"/>
      <c r="L35" s="118"/>
      <c r="M35" s="116"/>
      <c r="N35" s="116"/>
      <c r="O35" s="118"/>
      <c r="P35" s="118"/>
      <c r="Q35" s="118"/>
      <c r="R35" s="116" t="s">
        <v>68</v>
      </c>
      <c r="S35" s="116" t="s">
        <v>68</v>
      </c>
      <c r="T35" s="116"/>
      <c r="U35" s="116"/>
      <c r="V35" s="116"/>
      <c r="W35" s="116"/>
      <c r="X35" s="116"/>
      <c r="Y35" s="116"/>
      <c r="Z35" s="116"/>
      <c r="AA35" s="116"/>
      <c r="AB35" s="116" t="s">
        <v>68</v>
      </c>
      <c r="AC35" s="119">
        <v>70</v>
      </c>
      <c r="AD35" s="6"/>
      <c r="AE35" s="3" t="s">
        <v>147</v>
      </c>
    </row>
    <row r="36" spans="1:31">
      <c r="A36" s="11"/>
      <c r="B36" s="10" t="str">
        <f>HYPERLINK("#"&amp;ADDRESS(MATCH($AE36,인터페이스정의서!$A:$A,0),1,,,"인터페이스정의서"),$AE36)</f>
        <v>BW03S</v>
      </c>
      <c r="C36" s="10" t="s">
        <v>148</v>
      </c>
      <c r="D36" s="8" t="s">
        <v>63</v>
      </c>
      <c r="E36" s="10"/>
      <c r="F36" s="9" t="s">
        <v>149</v>
      </c>
      <c r="G36" s="8" t="s">
        <v>150</v>
      </c>
      <c r="H36" s="8" t="s">
        <v>66</v>
      </c>
      <c r="I36" s="8" t="s">
        <v>74</v>
      </c>
      <c r="J36" s="10"/>
      <c r="K36" s="10"/>
      <c r="L36" s="109"/>
      <c r="M36" s="10"/>
      <c r="N36" s="10"/>
      <c r="O36" s="109"/>
      <c r="P36" s="109"/>
      <c r="Q36" s="109"/>
      <c r="R36" s="10" t="s">
        <v>68</v>
      </c>
      <c r="S36" s="10" t="s">
        <v>68</v>
      </c>
      <c r="T36" s="10"/>
      <c r="U36" s="10"/>
      <c r="V36" s="10"/>
      <c r="W36" s="10"/>
      <c r="X36" s="10"/>
      <c r="Y36" s="10"/>
      <c r="Z36" s="10"/>
      <c r="AA36" s="10"/>
      <c r="AB36" s="10" t="s">
        <v>68</v>
      </c>
      <c r="AC36" s="35">
        <v>50</v>
      </c>
      <c r="AD36" s="6"/>
      <c r="AE36" s="3" t="s">
        <v>151</v>
      </c>
    </row>
    <row r="37" spans="1:31">
      <c r="A37" s="11"/>
      <c r="B37" s="10" t="str">
        <f>HYPERLINK("#"&amp;ADDRESS(MATCH($AE37,인터페이스정의서!$A:$A,0),1,,,"인터페이스정의서"),$AE37)</f>
        <v>F803S</v>
      </c>
      <c r="C37" s="10" t="s">
        <v>152</v>
      </c>
      <c r="D37" s="8" t="s">
        <v>63</v>
      </c>
      <c r="E37" s="10"/>
      <c r="F37" s="9" t="s">
        <v>71</v>
      </c>
      <c r="G37" s="8" t="s">
        <v>153</v>
      </c>
      <c r="H37" s="8" t="s">
        <v>73</v>
      </c>
      <c r="I37" s="8" t="s">
        <v>74</v>
      </c>
      <c r="J37" s="10"/>
      <c r="K37" s="10"/>
      <c r="L37" s="10" t="s">
        <v>68</v>
      </c>
      <c r="M37" s="10"/>
      <c r="N37" s="10"/>
      <c r="O37" s="109"/>
      <c r="P37" s="109"/>
      <c r="Q37" s="109"/>
      <c r="R37" s="10" t="s">
        <v>68</v>
      </c>
      <c r="S37" s="10" t="s">
        <v>68</v>
      </c>
      <c r="T37" s="10"/>
      <c r="U37" s="10"/>
      <c r="V37" s="10"/>
      <c r="W37" s="10"/>
      <c r="X37" s="10"/>
      <c r="Y37" s="10"/>
      <c r="Z37" s="10"/>
      <c r="AA37" s="10"/>
      <c r="AB37" s="10" t="s">
        <v>68</v>
      </c>
      <c r="AC37" s="35">
        <v>160</v>
      </c>
      <c r="AD37" s="6"/>
      <c r="AE37" s="3" t="s">
        <v>154</v>
      </c>
    </row>
    <row r="38" spans="1:31">
      <c r="A38" s="11"/>
      <c r="B38" s="10" t="str">
        <f>HYPERLINK("#"&amp;ADDRESS(MATCH($AE38,인터페이스정의서!$A:$A,0),1,,,"인터페이스정의서"),$AE38)</f>
        <v>L503S</v>
      </c>
      <c r="C38" s="10" t="s">
        <v>155</v>
      </c>
      <c r="D38" s="8" t="s">
        <v>63</v>
      </c>
      <c r="E38" s="10"/>
      <c r="F38" s="9" t="s">
        <v>142</v>
      </c>
      <c r="G38" s="8" t="s">
        <v>156</v>
      </c>
      <c r="H38" s="8" t="s">
        <v>66</v>
      </c>
      <c r="I38" s="8" t="s">
        <v>74</v>
      </c>
      <c r="J38" s="10"/>
      <c r="K38" s="10"/>
      <c r="L38" s="10"/>
      <c r="M38" s="10"/>
      <c r="N38" s="10"/>
      <c r="O38" s="10"/>
      <c r="P38" s="10"/>
      <c r="Q38" s="10"/>
      <c r="R38" s="10" t="s">
        <v>68</v>
      </c>
      <c r="S38" s="10" t="s">
        <v>68</v>
      </c>
      <c r="T38" s="10"/>
      <c r="U38" s="10"/>
      <c r="V38" s="10"/>
      <c r="W38" s="10"/>
      <c r="X38" s="10"/>
      <c r="Y38" s="10"/>
      <c r="Z38" s="10"/>
      <c r="AA38" s="10"/>
      <c r="AB38" s="10" t="s">
        <v>68</v>
      </c>
      <c r="AC38" s="35">
        <v>70</v>
      </c>
      <c r="AD38" s="6"/>
      <c r="AE38" s="3" t="s">
        <v>157</v>
      </c>
    </row>
    <row r="39" spans="1:31">
      <c r="A39" s="11"/>
      <c r="B39" s="10" t="str">
        <f>HYPERLINK("#"&amp;ADDRESS(MATCH($AE39,인터페이스정의서!$A:$A,0),1,,,"인터페이스정의서"),$AE39)</f>
        <v>M803S</v>
      </c>
      <c r="C39" s="10" t="s">
        <v>158</v>
      </c>
      <c r="D39" s="8" t="s">
        <v>63</v>
      </c>
      <c r="E39" s="10"/>
      <c r="F39" s="9" t="s">
        <v>71</v>
      </c>
      <c r="G39" s="8" t="s">
        <v>159</v>
      </c>
      <c r="H39" s="8" t="s">
        <v>73</v>
      </c>
      <c r="I39" s="8" t="s">
        <v>74</v>
      </c>
      <c r="J39" s="10"/>
      <c r="K39" s="10"/>
      <c r="M39" s="10"/>
      <c r="N39" s="10"/>
      <c r="O39" s="109"/>
      <c r="P39" s="109"/>
      <c r="Q39" s="109"/>
      <c r="R39" s="10" t="s">
        <v>68</v>
      </c>
      <c r="S39" s="10" t="s">
        <v>68</v>
      </c>
      <c r="T39" s="10"/>
      <c r="U39" s="10"/>
      <c r="V39" s="10"/>
      <c r="W39" s="10"/>
      <c r="X39" s="10"/>
      <c r="Y39" s="10"/>
      <c r="Z39" s="10"/>
      <c r="AA39" s="10"/>
      <c r="AB39" s="10" t="s">
        <v>68</v>
      </c>
      <c r="AC39" s="35">
        <v>130</v>
      </c>
      <c r="AD39" s="6"/>
      <c r="AE39" s="3" t="s">
        <v>160</v>
      </c>
    </row>
    <row r="40" spans="1:31">
      <c r="A40" s="11"/>
      <c r="B40" s="10" t="str">
        <f>HYPERLINK("#"&amp;ADDRESS(MATCH($AE40,인터페이스정의서!$A:$A,0),1,,,"인터페이스정의서"),$AE40)</f>
        <v>N803S</v>
      </c>
      <c r="C40" s="10" t="s">
        <v>161</v>
      </c>
      <c r="D40" s="8" t="s">
        <v>63</v>
      </c>
      <c r="E40" s="10"/>
      <c r="F40" s="9" t="s">
        <v>71</v>
      </c>
      <c r="G40" s="8" t="s">
        <v>162</v>
      </c>
      <c r="H40" s="8" t="s">
        <v>73</v>
      </c>
      <c r="I40" s="8" t="s">
        <v>74</v>
      </c>
      <c r="J40" s="10"/>
      <c r="K40" s="10"/>
      <c r="L40" s="10" t="s">
        <v>68</v>
      </c>
      <c r="M40" s="10"/>
      <c r="N40" s="10"/>
      <c r="O40" s="109"/>
      <c r="P40" s="109"/>
      <c r="Q40" s="109"/>
      <c r="R40" s="10" t="s">
        <v>68</v>
      </c>
      <c r="S40" s="10" t="s">
        <v>68</v>
      </c>
      <c r="T40" s="10"/>
      <c r="U40" s="10"/>
      <c r="V40" s="10"/>
      <c r="W40" s="10"/>
      <c r="X40" s="10"/>
      <c r="Y40" s="10"/>
      <c r="Z40" s="10"/>
      <c r="AA40" s="10"/>
      <c r="AB40" s="10" t="s">
        <v>68</v>
      </c>
      <c r="AC40" s="35">
        <v>250</v>
      </c>
      <c r="AD40" s="6"/>
      <c r="AE40" s="3" t="s">
        <v>163</v>
      </c>
    </row>
    <row r="41" spans="1:31">
      <c r="A41" s="11"/>
      <c r="B41" s="10" t="str">
        <f>HYPERLINK("#"&amp;ADDRESS(MATCH($AE41,인터페이스정의서!$A:$A,0),1,,,"인터페이스정의서"),$AE41)</f>
        <v>P603S</v>
      </c>
      <c r="C41" s="10" t="s">
        <v>164</v>
      </c>
      <c r="D41" s="8" t="s">
        <v>63</v>
      </c>
      <c r="E41" s="10"/>
      <c r="F41" s="9" t="s">
        <v>71</v>
      </c>
      <c r="G41" s="8" t="s">
        <v>165</v>
      </c>
      <c r="H41" s="8" t="s">
        <v>73</v>
      </c>
      <c r="I41" s="8" t="s">
        <v>74</v>
      </c>
      <c r="J41" s="10"/>
      <c r="K41" s="10"/>
      <c r="L41" s="10" t="s">
        <v>68</v>
      </c>
      <c r="M41" s="10"/>
      <c r="N41" s="10"/>
      <c r="O41" s="109"/>
      <c r="P41" s="109"/>
      <c r="Q41" s="109"/>
      <c r="R41" s="10" t="s">
        <v>68</v>
      </c>
      <c r="S41" s="10" t="s">
        <v>68</v>
      </c>
      <c r="T41" s="10"/>
      <c r="U41" s="10"/>
      <c r="V41" s="10"/>
      <c r="W41" s="10"/>
      <c r="X41" s="10"/>
      <c r="Y41" s="10"/>
      <c r="Z41" s="10"/>
      <c r="AA41" s="10"/>
      <c r="AB41" s="10" t="s">
        <v>68</v>
      </c>
      <c r="AC41" s="35">
        <v>60</v>
      </c>
      <c r="AD41" s="6"/>
      <c r="AE41" s="3" t="s">
        <v>166</v>
      </c>
    </row>
    <row r="42" spans="1:31">
      <c r="A42" s="11"/>
      <c r="B42" s="10" t="str">
        <f>HYPERLINK("#"&amp;ADDRESS(MATCH($AE42,인터페이스정의서!$A:$A,0),1,,,"인터페이스정의서"),$AE42)</f>
        <v>P703S</v>
      </c>
      <c r="C42" s="10" t="s">
        <v>167</v>
      </c>
      <c r="D42" s="8" t="s">
        <v>63</v>
      </c>
      <c r="E42" s="10"/>
      <c r="F42" s="9" t="s">
        <v>71</v>
      </c>
      <c r="G42" s="8" t="s">
        <v>168</v>
      </c>
      <c r="H42" s="8" t="s">
        <v>73</v>
      </c>
      <c r="I42" s="8" t="s">
        <v>74</v>
      </c>
      <c r="J42" s="10"/>
      <c r="K42" s="10"/>
      <c r="L42" s="10" t="s">
        <v>68</v>
      </c>
      <c r="M42" s="10"/>
      <c r="N42" s="10"/>
      <c r="O42" s="10"/>
      <c r="P42" s="10"/>
      <c r="Q42" s="10"/>
      <c r="R42" s="10" t="s">
        <v>68</v>
      </c>
      <c r="S42" s="10" t="s">
        <v>68</v>
      </c>
      <c r="T42" s="10"/>
      <c r="U42" s="10"/>
      <c r="V42" s="10"/>
      <c r="W42" s="10"/>
      <c r="X42" s="10"/>
      <c r="Y42" s="10"/>
      <c r="Z42" s="10"/>
      <c r="AA42" s="10"/>
      <c r="AB42" s="10" t="s">
        <v>68</v>
      </c>
      <c r="AC42" s="35">
        <v>60</v>
      </c>
      <c r="AD42" s="6"/>
      <c r="AE42" s="3" t="s">
        <v>169</v>
      </c>
    </row>
    <row r="43" spans="1:31">
      <c r="A43" s="11"/>
      <c r="B43" s="10" t="str">
        <f>HYPERLINK("#"&amp;ADDRESS(MATCH($AE43,인터페이스정의서!$A:$A,0),1,,,"인터페이스정의서"),$AE43)</f>
        <v>Q403S</v>
      </c>
      <c r="C43" s="10" t="s">
        <v>170</v>
      </c>
      <c r="D43" s="8" t="s">
        <v>63</v>
      </c>
      <c r="E43" s="10"/>
      <c r="F43" s="9" t="s">
        <v>71</v>
      </c>
      <c r="G43" s="8" t="s">
        <v>171</v>
      </c>
      <c r="H43" s="8" t="s">
        <v>73</v>
      </c>
      <c r="I43" s="8" t="s">
        <v>74</v>
      </c>
      <c r="J43" s="10"/>
      <c r="K43" s="10"/>
      <c r="L43" s="10" t="s">
        <v>68</v>
      </c>
      <c r="M43" s="10"/>
      <c r="N43" s="10"/>
      <c r="O43" s="109"/>
      <c r="P43" s="109"/>
      <c r="Q43" s="109"/>
      <c r="R43" s="10" t="s">
        <v>68</v>
      </c>
      <c r="S43" s="10" t="s">
        <v>68</v>
      </c>
      <c r="T43" s="10"/>
      <c r="U43" s="10"/>
      <c r="V43" s="10"/>
      <c r="W43" s="10"/>
      <c r="X43" s="10"/>
      <c r="Y43" s="10"/>
      <c r="Z43" s="10"/>
      <c r="AA43" s="10"/>
      <c r="AB43" s="10" t="s">
        <v>68</v>
      </c>
      <c r="AC43" s="35">
        <v>200</v>
      </c>
      <c r="AD43" s="6"/>
      <c r="AE43" s="3" t="s">
        <v>172</v>
      </c>
    </row>
    <row r="44" spans="1:31">
      <c r="A44" s="11"/>
      <c r="B44" s="10" t="str">
        <f>HYPERLINK("#"&amp;ADDRESS(MATCH($AE44,인터페이스정의서!$A:$A,0),1,,,"인터페이스정의서"),$AE44)</f>
        <v>Q503S</v>
      </c>
      <c r="C44" s="10" t="s">
        <v>173</v>
      </c>
      <c r="D44" s="8" t="s">
        <v>63</v>
      </c>
      <c r="E44" s="10"/>
      <c r="F44" s="9" t="s">
        <v>71</v>
      </c>
      <c r="G44" s="8" t="s">
        <v>174</v>
      </c>
      <c r="H44" s="8" t="s">
        <v>73</v>
      </c>
      <c r="I44" s="8" t="s">
        <v>74</v>
      </c>
      <c r="J44" s="10"/>
      <c r="K44" s="10"/>
      <c r="L44" s="10"/>
      <c r="M44" s="10"/>
      <c r="N44" s="10"/>
      <c r="O44" s="109"/>
      <c r="P44" s="109"/>
      <c r="Q44" s="109"/>
      <c r="R44" s="10" t="s">
        <v>68</v>
      </c>
      <c r="S44" s="10" t="s">
        <v>68</v>
      </c>
      <c r="T44" s="10"/>
      <c r="U44" s="10"/>
      <c r="V44" s="10"/>
      <c r="W44" s="10"/>
      <c r="X44" s="10"/>
      <c r="Y44" s="10"/>
      <c r="Z44" s="10"/>
      <c r="AA44" s="10"/>
      <c r="AB44" s="10" t="s">
        <v>68</v>
      </c>
      <c r="AC44" s="35">
        <v>200</v>
      </c>
      <c r="AD44" s="6"/>
      <c r="AE44" s="3" t="s">
        <v>175</v>
      </c>
    </row>
    <row r="45" spans="1:31">
      <c r="A45" s="11"/>
      <c r="B45" s="10" t="str">
        <f>HYPERLINK("#"&amp;ADDRESS(MATCH($AE45,인터페이스정의서!$A:$A,0),1,,,"인터페이스정의서"),$AE45)</f>
        <v>S104S</v>
      </c>
      <c r="C45" s="10" t="s">
        <v>176</v>
      </c>
      <c r="D45" s="8" t="s">
        <v>63</v>
      </c>
      <c r="E45" s="10"/>
      <c r="F45" s="9" t="s">
        <v>71</v>
      </c>
      <c r="G45" s="8" t="s">
        <v>177</v>
      </c>
      <c r="H45" s="8" t="s">
        <v>73</v>
      </c>
      <c r="I45" s="8" t="s">
        <v>74</v>
      </c>
      <c r="J45" s="10"/>
      <c r="K45" s="10"/>
      <c r="L45" s="10"/>
      <c r="M45" s="10"/>
      <c r="N45" s="10"/>
      <c r="O45" s="10"/>
      <c r="P45" s="10"/>
      <c r="Q45" s="10"/>
      <c r="R45" s="10" t="s">
        <v>68</v>
      </c>
      <c r="S45" s="10" t="s">
        <v>68</v>
      </c>
      <c r="T45" s="10"/>
      <c r="U45" s="10"/>
      <c r="V45" s="10"/>
      <c r="W45" s="10"/>
      <c r="X45" s="10"/>
      <c r="Y45" s="10"/>
      <c r="Z45" s="10"/>
      <c r="AA45" s="10"/>
      <c r="AB45" s="10" t="s">
        <v>68</v>
      </c>
      <c r="AC45" s="35">
        <v>130</v>
      </c>
      <c r="AD45" s="6"/>
      <c r="AE45" s="3" t="s">
        <v>178</v>
      </c>
    </row>
    <row r="46" spans="1:31">
      <c r="A46" s="11"/>
      <c r="B46" s="10" t="str">
        <f>HYPERLINK("#"&amp;ADDRESS(MATCH($AE46,인터페이스정의서!$A:$A,0),1,,,"인터페이스정의서"),$AE46)</f>
        <v>S204S</v>
      </c>
      <c r="C46" s="10" t="s">
        <v>179</v>
      </c>
      <c r="D46" s="8" t="s">
        <v>63</v>
      </c>
      <c r="E46" s="10"/>
      <c r="F46" s="9" t="s">
        <v>71</v>
      </c>
      <c r="G46" s="8" t="s">
        <v>180</v>
      </c>
      <c r="H46" s="8" t="s">
        <v>73</v>
      </c>
      <c r="I46" s="8" t="s">
        <v>74</v>
      </c>
      <c r="J46" s="10"/>
      <c r="K46" s="10"/>
      <c r="L46" s="10"/>
      <c r="M46" s="10"/>
      <c r="N46" s="10"/>
      <c r="O46" s="10"/>
      <c r="P46" s="10"/>
      <c r="Q46" s="10"/>
      <c r="R46" s="10" t="s">
        <v>68</v>
      </c>
      <c r="S46" s="10" t="s">
        <v>68</v>
      </c>
      <c r="T46" s="10"/>
      <c r="U46" s="10"/>
      <c r="V46" s="10"/>
      <c r="W46" s="10"/>
      <c r="X46" s="10"/>
      <c r="Y46" s="10"/>
      <c r="Z46" s="10"/>
      <c r="AA46" s="10"/>
      <c r="AB46" s="10" t="s">
        <v>68</v>
      </c>
      <c r="AC46" s="35">
        <v>200</v>
      </c>
      <c r="AD46" s="6"/>
      <c r="AE46" s="3" t="s">
        <v>181</v>
      </c>
    </row>
    <row r="47" spans="1:31">
      <c r="A47" s="11"/>
      <c r="B47" s="10" t="str">
        <f>HYPERLINK("#"&amp;ADDRESS(MATCH($AE47,인터페이스정의서!$A:$A,0),1,,,"인터페이스정의서"),$AE47)</f>
        <v>S304S</v>
      </c>
      <c r="C47" s="10" t="s">
        <v>182</v>
      </c>
      <c r="D47" s="8" t="s">
        <v>63</v>
      </c>
      <c r="E47" s="10"/>
      <c r="F47" s="9" t="s">
        <v>142</v>
      </c>
      <c r="G47" s="8" t="s">
        <v>183</v>
      </c>
      <c r="H47" s="8" t="s">
        <v>66</v>
      </c>
      <c r="I47" s="8" t="s">
        <v>74</v>
      </c>
      <c r="J47" s="10"/>
      <c r="K47" s="10"/>
      <c r="L47" s="10"/>
      <c r="M47" s="10"/>
      <c r="N47" s="10"/>
      <c r="O47" s="10"/>
      <c r="P47" s="10"/>
      <c r="Q47" s="10"/>
      <c r="R47" s="10" t="s">
        <v>68</v>
      </c>
      <c r="S47" s="10" t="s">
        <v>68</v>
      </c>
      <c r="T47" s="10"/>
      <c r="U47" s="10"/>
      <c r="V47" s="10"/>
      <c r="W47" s="10"/>
      <c r="X47" s="10"/>
      <c r="Y47" s="10"/>
      <c r="Z47" s="10"/>
      <c r="AA47" s="10"/>
      <c r="AB47" s="10" t="s">
        <v>68</v>
      </c>
      <c r="AC47" s="35">
        <v>70</v>
      </c>
      <c r="AD47" s="6"/>
      <c r="AE47" s="3" t="s">
        <v>184</v>
      </c>
    </row>
    <row r="48" spans="1:31" ht="12" thickBot="1">
      <c r="A48" s="11"/>
      <c r="B48" s="121" t="str">
        <f>HYPERLINK("#"&amp;ADDRESS(MATCH($AE48,인터페이스정의서!$A:$A,0),1,,,"인터페이스정의서"),$AE48)</f>
        <v>X404S</v>
      </c>
      <c r="C48" s="121" t="s">
        <v>185</v>
      </c>
      <c r="D48" s="120" t="s">
        <v>63</v>
      </c>
      <c r="E48" s="121"/>
      <c r="F48" s="122" t="s">
        <v>71</v>
      </c>
      <c r="G48" s="120" t="s">
        <v>186</v>
      </c>
      <c r="H48" s="120" t="s">
        <v>73</v>
      </c>
      <c r="I48" s="120" t="s">
        <v>74</v>
      </c>
      <c r="J48" s="121"/>
      <c r="K48" s="121"/>
      <c r="L48" s="121"/>
      <c r="M48" s="121"/>
      <c r="N48" s="121"/>
      <c r="O48" s="121"/>
      <c r="P48" s="121"/>
      <c r="Q48" s="121"/>
      <c r="R48" s="121" t="s">
        <v>68</v>
      </c>
      <c r="S48" s="121" t="s">
        <v>68</v>
      </c>
      <c r="T48" s="121"/>
      <c r="U48" s="121"/>
      <c r="V48" s="121"/>
      <c r="W48" s="121"/>
      <c r="X48" s="121"/>
      <c r="Y48" s="121"/>
      <c r="Z48" s="121"/>
      <c r="AA48" s="121"/>
      <c r="AB48" s="121"/>
      <c r="AC48" s="123">
        <v>100</v>
      </c>
      <c r="AD48" s="6"/>
      <c r="AE48" s="3" t="s">
        <v>187</v>
      </c>
    </row>
    <row r="49" spans="1:31">
      <c r="A49" s="11"/>
      <c r="B49" s="124" t="str">
        <f>HYPERLINK("#"&amp;ADDRESS(MATCH($AE49,인터페이스정의서!$A:$A,0),1,,,"인터페이스정의서"),$AE49)</f>
        <v>C702S</v>
      </c>
      <c r="C49" s="124" t="s">
        <v>188</v>
      </c>
      <c r="D49" s="8" t="s">
        <v>63</v>
      </c>
      <c r="E49" s="124"/>
      <c r="F49" s="9" t="s">
        <v>142</v>
      </c>
      <c r="G49" s="8" t="s">
        <v>189</v>
      </c>
      <c r="H49" s="8" t="s">
        <v>66</v>
      </c>
      <c r="I49" s="8" t="s">
        <v>74</v>
      </c>
      <c r="J49" s="10"/>
      <c r="K49" s="10"/>
      <c r="L49" s="10"/>
      <c r="M49" s="10"/>
      <c r="N49" s="10"/>
      <c r="O49" s="10"/>
      <c r="P49" s="10"/>
      <c r="Q49" s="10"/>
      <c r="R49" s="10" t="s">
        <v>68</v>
      </c>
      <c r="S49" s="10" t="s">
        <v>68</v>
      </c>
      <c r="T49" s="10"/>
      <c r="U49" s="10"/>
      <c r="V49" s="10"/>
      <c r="W49" s="10"/>
      <c r="X49" s="10"/>
      <c r="Y49" s="10"/>
      <c r="Z49" s="10"/>
      <c r="AA49" s="10"/>
      <c r="AB49" s="10"/>
      <c r="AC49" s="35">
        <v>110</v>
      </c>
      <c r="AD49" s="6"/>
      <c r="AE49" s="3" t="s">
        <v>190</v>
      </c>
    </row>
    <row r="50" spans="1:31" ht="12" thickBot="1">
      <c r="A50" s="11"/>
      <c r="B50" s="121" t="str">
        <f>HYPERLINK("#"&amp;ADDRESS(MATCH($AE50,인터페이스정의서!$A:$A,0),1,,,"인터페이스정의서"),$AE50)</f>
        <v>N302S</v>
      </c>
      <c r="C50" s="121" t="s">
        <v>191</v>
      </c>
      <c r="D50" s="120" t="s">
        <v>63</v>
      </c>
      <c r="E50" s="121"/>
      <c r="F50" s="122" t="s">
        <v>142</v>
      </c>
      <c r="G50" s="120" t="s">
        <v>192</v>
      </c>
      <c r="H50" s="120" t="s">
        <v>66</v>
      </c>
      <c r="I50" s="120" t="s">
        <v>74</v>
      </c>
      <c r="J50" s="121"/>
      <c r="K50" s="121"/>
      <c r="L50" s="121"/>
      <c r="M50" s="121"/>
      <c r="N50" s="121"/>
      <c r="O50" s="121"/>
      <c r="P50" s="121"/>
      <c r="Q50" s="121"/>
      <c r="R50" s="121" t="s">
        <v>68</v>
      </c>
      <c r="S50" s="121" t="s">
        <v>68</v>
      </c>
      <c r="T50" s="121"/>
      <c r="U50" s="121"/>
      <c r="V50" s="121"/>
      <c r="W50" s="121"/>
      <c r="X50" s="121"/>
      <c r="Y50" s="121"/>
      <c r="Z50" s="121"/>
      <c r="AA50" s="121"/>
      <c r="AB50" s="121"/>
      <c r="AC50" s="123">
        <v>870</v>
      </c>
      <c r="AD50" s="6"/>
      <c r="AE50" s="3" t="s">
        <v>193</v>
      </c>
    </row>
    <row r="51" spans="1:31">
      <c r="A51" s="11"/>
      <c r="B51" s="116" t="str">
        <f>HYPERLINK("#"&amp;ADDRESS(MATCH($AE51,인터페이스정의서!$A:$A,0),1,,,"인터페이스정의서"),$AE51)</f>
        <v>E2000</v>
      </c>
      <c r="C51" s="116" t="s">
        <v>194</v>
      </c>
      <c r="D51" s="81" t="s">
        <v>63</v>
      </c>
      <c r="E51" s="116"/>
      <c r="F51" s="117" t="s">
        <v>142</v>
      </c>
      <c r="G51" s="81" t="s">
        <v>195</v>
      </c>
      <c r="H51" s="81" t="s">
        <v>66</v>
      </c>
      <c r="I51" s="81" t="s">
        <v>74</v>
      </c>
      <c r="J51" s="116" t="s">
        <v>68</v>
      </c>
      <c r="K51" s="116" t="s">
        <v>68</v>
      </c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 t="s">
        <v>68</v>
      </c>
      <c r="AC51" s="119">
        <v>77</v>
      </c>
      <c r="AD51" s="6"/>
      <c r="AE51" s="3" t="s">
        <v>196</v>
      </c>
    </row>
    <row r="52" spans="1:31">
      <c r="A52" s="11"/>
      <c r="B52" s="116" t="str">
        <f>HYPERLINK("#"&amp;ADDRESS(MATCH($AE52,인터페이스정의서!$A:$A,0),1,,,"인터페이스정의서"),$AE52)</f>
        <v>O9000</v>
      </c>
      <c r="C52" s="116" t="s">
        <v>197</v>
      </c>
      <c r="D52" s="81" t="s">
        <v>63</v>
      </c>
      <c r="E52" s="116"/>
      <c r="F52" s="117" t="s">
        <v>142</v>
      </c>
      <c r="G52" s="81" t="s">
        <v>198</v>
      </c>
      <c r="H52" s="81" t="s">
        <v>66</v>
      </c>
      <c r="I52" s="81" t="s">
        <v>74</v>
      </c>
      <c r="J52" s="116" t="s">
        <v>68</v>
      </c>
      <c r="K52" s="116" t="s">
        <v>68</v>
      </c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 t="s">
        <v>68</v>
      </c>
      <c r="AC52" s="119">
        <v>77</v>
      </c>
      <c r="AD52" s="6"/>
      <c r="AE52" s="3" t="s">
        <v>199</v>
      </c>
    </row>
    <row r="53" spans="1:31">
      <c r="A53" s="11"/>
      <c r="B53" s="177" t="str">
        <f>HYPERLINK("#"&amp;ADDRESS(MATCH($AE53,인터페이스정의서!$A:$A,0),1,,,"인터페이스정의서"),$AE53)</f>
        <v>M3000</v>
      </c>
      <c r="C53" s="177" t="s">
        <v>200</v>
      </c>
      <c r="D53" s="176" t="s">
        <v>63</v>
      </c>
      <c r="E53" s="177"/>
      <c r="F53" s="178" t="s">
        <v>142</v>
      </c>
      <c r="G53" s="176" t="s">
        <v>201</v>
      </c>
      <c r="H53" s="176" t="s">
        <v>73</v>
      </c>
      <c r="I53" s="176" t="s">
        <v>74</v>
      </c>
      <c r="J53" s="177" t="s">
        <v>68</v>
      </c>
      <c r="K53" s="177" t="s">
        <v>68</v>
      </c>
      <c r="L53" s="177"/>
      <c r="M53" s="177"/>
      <c r="N53" s="177"/>
      <c r="O53" s="177"/>
      <c r="P53" s="177"/>
      <c r="Q53" s="177"/>
      <c r="R53" s="177"/>
      <c r="S53" s="177"/>
      <c r="T53" s="177"/>
      <c r="U53" s="177"/>
      <c r="V53" s="177"/>
      <c r="W53" s="177"/>
      <c r="X53" s="177"/>
      <c r="Y53" s="177"/>
      <c r="Z53" s="177"/>
      <c r="AA53" s="177"/>
      <c r="AB53" s="177"/>
      <c r="AC53" s="179">
        <v>100</v>
      </c>
      <c r="AD53" s="180"/>
      <c r="AE53" s="3" t="s">
        <v>202</v>
      </c>
    </row>
    <row r="54" spans="1:31">
      <c r="A54" s="11"/>
      <c r="B54" s="10" t="str">
        <f>HYPERLINK("#"&amp;ADDRESS(MATCH($AE54,인터페이스정의서!$A:$A,0),1,,,"인터페이스정의서"),$AE54)</f>
        <v>O5000</v>
      </c>
      <c r="C54" s="10" t="s">
        <v>203</v>
      </c>
      <c r="D54" s="8" t="s">
        <v>63</v>
      </c>
      <c r="E54" s="10"/>
      <c r="F54" s="9" t="s">
        <v>142</v>
      </c>
      <c r="G54" s="8" t="s">
        <v>204</v>
      </c>
      <c r="H54" s="8" t="s">
        <v>66</v>
      </c>
      <c r="I54" s="8" t="s">
        <v>74</v>
      </c>
      <c r="J54" s="10" t="s">
        <v>68</v>
      </c>
      <c r="K54" s="10" t="s">
        <v>68</v>
      </c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35">
        <v>77</v>
      </c>
      <c r="AD54" s="6"/>
      <c r="AE54" s="3" t="s">
        <v>205</v>
      </c>
    </row>
    <row r="55" spans="1:31" ht="12" thickBot="1">
      <c r="A55" s="11"/>
      <c r="B55" s="121" t="str">
        <f>HYPERLINK("#"&amp;ADDRESS(MATCH($AE55,인터페이스정의서!$A:$A,0),1,,,"인터페이스정의서"),$AE55)</f>
        <v>P3000</v>
      </c>
      <c r="C55" s="121" t="s">
        <v>206</v>
      </c>
      <c r="D55" s="120" t="s">
        <v>63</v>
      </c>
      <c r="E55" s="121"/>
      <c r="F55" s="122" t="s">
        <v>142</v>
      </c>
      <c r="G55" s="120" t="s">
        <v>207</v>
      </c>
      <c r="H55" s="120" t="s">
        <v>66</v>
      </c>
      <c r="I55" s="120" t="s">
        <v>74</v>
      </c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 t="s">
        <v>68</v>
      </c>
      <c r="U55" s="121" t="s">
        <v>68</v>
      </c>
      <c r="V55" s="121" t="s">
        <v>68</v>
      </c>
      <c r="W55" s="121"/>
      <c r="X55" s="121"/>
      <c r="Y55" s="121"/>
      <c r="Z55" s="121"/>
      <c r="AA55" s="121"/>
      <c r="AB55" s="121" t="s">
        <v>68</v>
      </c>
      <c r="AC55" s="123">
        <v>77</v>
      </c>
      <c r="AD55" s="6"/>
      <c r="AE55" s="3" t="s">
        <v>208</v>
      </c>
    </row>
    <row r="56" spans="1:31" ht="12" thickBot="1">
      <c r="A56" s="11"/>
      <c r="B56" s="125" t="str">
        <f>HYPERLINK("#"&amp;ADDRESS(MATCH($AE56,인터페이스정의서!$A:$A,0),1,,,"인터페이스정의서"),$AE56)</f>
        <v>K0000</v>
      </c>
      <c r="C56" s="125" t="s">
        <v>209</v>
      </c>
      <c r="D56" s="120" t="s">
        <v>63</v>
      </c>
      <c r="E56" s="125"/>
      <c r="F56" s="117" t="s">
        <v>142</v>
      </c>
      <c r="G56" s="81" t="s">
        <v>210</v>
      </c>
      <c r="H56" s="81" t="s">
        <v>66</v>
      </c>
      <c r="I56" s="81" t="s">
        <v>211</v>
      </c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 t="s">
        <v>68</v>
      </c>
      <c r="U56" s="116" t="s">
        <v>68</v>
      </c>
      <c r="V56" s="116" t="s">
        <v>68</v>
      </c>
      <c r="W56" s="116"/>
      <c r="X56" s="116"/>
      <c r="Y56" s="116"/>
      <c r="Z56" s="116"/>
      <c r="AA56" s="116"/>
      <c r="AB56" s="116" t="s">
        <v>68</v>
      </c>
      <c r="AC56" s="119">
        <v>114</v>
      </c>
      <c r="AD56" s="6"/>
      <c r="AE56" s="3" t="s">
        <v>212</v>
      </c>
    </row>
    <row r="57" spans="1:31">
      <c r="A57" s="11"/>
      <c r="B57" s="10" t="str">
        <f>HYPERLINK("#"&amp;ADDRESS(MATCH($AE57,인터페이스정의서!$A:$A,0),1,,,"인터페이스정의서"),$AE57)</f>
        <v>K7077</v>
      </c>
      <c r="C57" s="10" t="s">
        <v>213</v>
      </c>
      <c r="D57" s="8" t="s">
        <v>63</v>
      </c>
      <c r="E57" s="10"/>
      <c r="F57" s="9" t="s">
        <v>142</v>
      </c>
      <c r="G57" s="8" t="s">
        <v>214</v>
      </c>
      <c r="H57" s="8" t="s">
        <v>66</v>
      </c>
      <c r="I57" s="8" t="s">
        <v>211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 t="s">
        <v>68</v>
      </c>
      <c r="U57" s="10" t="s">
        <v>68</v>
      </c>
      <c r="V57" s="10" t="s">
        <v>68</v>
      </c>
      <c r="W57" s="10"/>
      <c r="X57" s="10"/>
      <c r="Y57" s="10"/>
      <c r="Z57" s="10"/>
      <c r="AA57" s="10"/>
      <c r="AB57" s="10" t="s">
        <v>68</v>
      </c>
      <c r="AC57" s="35">
        <v>70</v>
      </c>
      <c r="AD57" s="6"/>
      <c r="AE57" s="3" t="s">
        <v>215</v>
      </c>
    </row>
    <row r="58" spans="1:31">
      <c r="A58" s="11"/>
      <c r="B58" s="10" t="str">
        <f>HYPERLINK("#"&amp;ADDRESS(MATCH($AE58,인터페이스정의서!$A:$A,0),1,,,"인터페이스정의서"),$AE58)</f>
        <v>K6000</v>
      </c>
      <c r="C58" s="10" t="s">
        <v>216</v>
      </c>
      <c r="D58" s="8" t="s">
        <v>63</v>
      </c>
      <c r="E58" s="10"/>
      <c r="F58" s="9" t="s">
        <v>142</v>
      </c>
      <c r="G58" s="8" t="s">
        <v>217</v>
      </c>
      <c r="H58" s="8" t="s">
        <v>66</v>
      </c>
      <c r="I58" s="8" t="s">
        <v>211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 t="s">
        <v>68</v>
      </c>
      <c r="U58" s="10" t="s">
        <v>68</v>
      </c>
      <c r="V58" s="10" t="s">
        <v>68</v>
      </c>
      <c r="W58" s="10"/>
      <c r="X58" s="10"/>
      <c r="Y58" s="10"/>
      <c r="Z58" s="10"/>
      <c r="AA58" s="10"/>
      <c r="AB58" s="10" t="s">
        <v>68</v>
      </c>
      <c r="AC58" s="35">
        <v>114</v>
      </c>
      <c r="AD58" s="6"/>
      <c r="AE58" s="3" t="s">
        <v>218</v>
      </c>
    </row>
    <row r="59" spans="1:31">
      <c r="A59" s="11"/>
      <c r="B59" s="10" t="str">
        <f>HYPERLINK("#"&amp;ADDRESS(MATCH($AE59,인터페이스정의서!$A:$A,0),1,,,"인터페이스정의서"),$AE59)</f>
        <v>L6000</v>
      </c>
      <c r="C59" s="10" t="s">
        <v>219</v>
      </c>
      <c r="D59" s="8" t="s">
        <v>63</v>
      </c>
      <c r="E59" s="10"/>
      <c r="F59" s="9" t="s">
        <v>142</v>
      </c>
      <c r="G59" s="8" t="s">
        <v>220</v>
      </c>
      <c r="H59" s="8" t="s">
        <v>66</v>
      </c>
      <c r="I59" s="8" t="s">
        <v>211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 t="s">
        <v>68</v>
      </c>
      <c r="U59" s="10" t="s">
        <v>68</v>
      </c>
      <c r="V59" s="10" t="s">
        <v>68</v>
      </c>
      <c r="W59" s="10"/>
      <c r="X59" s="10"/>
      <c r="Y59" s="10"/>
      <c r="Z59" s="10"/>
      <c r="AA59" s="10"/>
      <c r="AB59" s="10" t="s">
        <v>68</v>
      </c>
      <c r="AC59" s="35">
        <v>114</v>
      </c>
      <c r="AD59" s="6"/>
      <c r="AE59" s="3" t="s">
        <v>221</v>
      </c>
    </row>
    <row r="60" spans="1:31">
      <c r="A60" s="11"/>
      <c r="B60" s="10" t="str">
        <f>HYPERLINK("#"&amp;ADDRESS(MATCH($AE60,인터페이스정의서!$A:$A,0),1,,,"인터페이스정의서"),$AE60)</f>
        <v>L7077</v>
      </c>
      <c r="C60" s="10" t="s">
        <v>222</v>
      </c>
      <c r="D60" s="8" t="s">
        <v>63</v>
      </c>
      <c r="E60" s="10"/>
      <c r="F60" s="9" t="s">
        <v>142</v>
      </c>
      <c r="G60" s="8" t="s">
        <v>223</v>
      </c>
      <c r="H60" s="8" t="s">
        <v>66</v>
      </c>
      <c r="I60" s="8" t="s">
        <v>211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 t="s">
        <v>68</v>
      </c>
      <c r="U60" s="10" t="s">
        <v>68</v>
      </c>
      <c r="V60" s="10" t="s">
        <v>68</v>
      </c>
      <c r="W60" s="10"/>
      <c r="X60" s="10"/>
      <c r="Y60" s="10"/>
      <c r="Z60" s="10"/>
      <c r="AA60" s="10"/>
      <c r="AB60" s="10" t="s">
        <v>68</v>
      </c>
      <c r="AC60" s="35">
        <v>70</v>
      </c>
      <c r="AD60" s="6"/>
      <c r="AE60" s="3" t="s">
        <v>223</v>
      </c>
    </row>
    <row r="61" spans="1:31">
      <c r="A61" s="11"/>
      <c r="B61" s="10" t="str">
        <f>HYPERLINK("#"&amp;ADDRESS(MATCH($AE61,인터페이스정의서!$A:$A,0),1,,,"인터페이스정의서"),$AE61)</f>
        <v>Q6000</v>
      </c>
      <c r="C61" s="10" t="s">
        <v>224</v>
      </c>
      <c r="D61" s="8" t="s">
        <v>63</v>
      </c>
      <c r="E61" s="10"/>
      <c r="F61" s="9" t="s">
        <v>142</v>
      </c>
      <c r="G61" s="8" t="s">
        <v>225</v>
      </c>
      <c r="H61" s="8" t="s">
        <v>66</v>
      </c>
      <c r="I61" s="8" t="s">
        <v>211</v>
      </c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 t="s">
        <v>68</v>
      </c>
      <c r="U61" s="10" t="s">
        <v>68</v>
      </c>
      <c r="V61" s="10" t="s">
        <v>68</v>
      </c>
      <c r="W61" s="10"/>
      <c r="X61" s="10"/>
      <c r="Y61" s="10"/>
      <c r="Z61" s="10"/>
      <c r="AA61" s="10"/>
      <c r="AB61" s="10" t="s">
        <v>68</v>
      </c>
      <c r="AC61" s="35">
        <v>114</v>
      </c>
      <c r="AD61" s="6"/>
      <c r="AE61" s="3" t="s">
        <v>226</v>
      </c>
    </row>
    <row r="62" spans="1:31" ht="12" thickBot="1">
      <c r="A62" s="11"/>
      <c r="B62" s="121" t="str">
        <f>HYPERLINK("#"&amp;ADDRESS(MATCH($AE62,인터페이스정의서!$A:$A,0),1,,,"인터페이스정의서"),$AE62)</f>
        <v>Q7077</v>
      </c>
      <c r="C62" s="121" t="s">
        <v>227</v>
      </c>
      <c r="D62" s="120" t="s">
        <v>63</v>
      </c>
      <c r="E62" s="121"/>
      <c r="F62" s="122" t="s">
        <v>142</v>
      </c>
      <c r="G62" s="120" t="s">
        <v>228</v>
      </c>
      <c r="H62" s="120" t="s">
        <v>66</v>
      </c>
      <c r="I62" s="120" t="s">
        <v>211</v>
      </c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 t="s">
        <v>68</v>
      </c>
      <c r="U62" s="121" t="s">
        <v>68</v>
      </c>
      <c r="V62" s="121" t="s">
        <v>68</v>
      </c>
      <c r="W62" s="121"/>
      <c r="X62" s="121"/>
      <c r="Y62" s="121"/>
      <c r="Z62" s="121"/>
      <c r="AA62" s="121"/>
      <c r="AB62" s="121" t="s">
        <v>68</v>
      </c>
      <c r="AC62" s="123">
        <v>70</v>
      </c>
      <c r="AD62" s="6"/>
      <c r="AE62" s="3" t="s">
        <v>228</v>
      </c>
    </row>
    <row r="63" spans="1:31">
      <c r="A63" s="11"/>
      <c r="B63" s="116" t="str">
        <f>HYPERLINK("#"&amp;ADDRESS(MATCH($AE63,인터페이스정의서!$A:$A,0),1,,,"인터페이스정의서"),$AE63)</f>
        <v>A2013</v>
      </c>
      <c r="C63" s="116" t="s">
        <v>229</v>
      </c>
      <c r="D63" s="81" t="s">
        <v>63</v>
      </c>
      <c r="E63" s="116"/>
      <c r="F63" s="117" t="s">
        <v>142</v>
      </c>
      <c r="G63" s="81" t="s">
        <v>230</v>
      </c>
      <c r="H63" s="81" t="s">
        <v>66</v>
      </c>
      <c r="I63" s="81" t="s">
        <v>84</v>
      </c>
      <c r="J63" s="116"/>
      <c r="K63" s="116"/>
      <c r="L63" s="116"/>
      <c r="M63" s="116"/>
      <c r="N63" s="116"/>
      <c r="O63" s="116" t="s">
        <v>68</v>
      </c>
      <c r="P63" s="116" t="s">
        <v>68</v>
      </c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9">
        <v>200</v>
      </c>
      <c r="AD63" s="6"/>
      <c r="AE63" s="3" t="s">
        <v>230</v>
      </c>
    </row>
    <row r="64" spans="1:31">
      <c r="A64" s="11"/>
      <c r="B64" s="10" t="str">
        <f>HYPERLINK("#"&amp;ADDRESS(MATCH($AE64,인터페이스정의서!$A:$A,0),1,,,"인터페이스정의서"),$AE64)</f>
        <v>A3013</v>
      </c>
      <c r="C64" s="10" t="s">
        <v>231</v>
      </c>
      <c r="D64" s="8" t="s">
        <v>63</v>
      </c>
      <c r="E64" s="10"/>
      <c r="F64" s="9" t="s">
        <v>142</v>
      </c>
      <c r="G64" s="8" t="s">
        <v>232</v>
      </c>
      <c r="H64" s="8" t="s">
        <v>66</v>
      </c>
      <c r="I64" s="8" t="s">
        <v>84</v>
      </c>
      <c r="J64" s="10"/>
      <c r="K64" s="10"/>
      <c r="L64" s="10"/>
      <c r="M64" s="10"/>
      <c r="N64" s="10"/>
      <c r="O64" s="10" t="s">
        <v>68</v>
      </c>
      <c r="P64" s="10" t="s">
        <v>68</v>
      </c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35">
        <v>250</v>
      </c>
      <c r="AD64" s="6"/>
      <c r="AE64" s="3" t="s">
        <v>232</v>
      </c>
    </row>
    <row r="65" spans="1:31">
      <c r="A65" s="11"/>
      <c r="B65" s="10" t="str">
        <f>HYPERLINK("#"&amp;ADDRESS(MATCH($AE65,인터페이스정의서!$A:$A,0),1,,,"인터페이스정의서"),$AE65)</f>
        <v>A6013</v>
      </c>
      <c r="C65" s="10" t="s">
        <v>233</v>
      </c>
      <c r="D65" s="8" t="s">
        <v>63</v>
      </c>
      <c r="E65" s="10"/>
      <c r="F65" s="9" t="s">
        <v>142</v>
      </c>
      <c r="G65" s="8" t="s">
        <v>234</v>
      </c>
      <c r="H65" s="8" t="s">
        <v>66</v>
      </c>
      <c r="I65" s="8" t="s">
        <v>84</v>
      </c>
      <c r="J65" s="10"/>
      <c r="K65" s="10"/>
      <c r="L65" s="10"/>
      <c r="M65" s="10"/>
      <c r="N65" s="10"/>
      <c r="O65" s="10" t="s">
        <v>68</v>
      </c>
      <c r="P65" s="10" t="s">
        <v>68</v>
      </c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35">
        <v>40</v>
      </c>
      <c r="AD65" s="6"/>
      <c r="AE65" s="3" t="s">
        <v>234</v>
      </c>
    </row>
    <row r="66" spans="1:31">
      <c r="A66" s="11"/>
      <c r="B66" s="10" t="str">
        <f>HYPERLINK("#"&amp;ADDRESS(MATCH($AE66,인터페이스정의서!$A:$A,0),1,,,"인터페이스정의서"),$AE66)</f>
        <v>A7013</v>
      </c>
      <c r="C66" s="10" t="s">
        <v>235</v>
      </c>
      <c r="D66" s="8" t="s">
        <v>63</v>
      </c>
      <c r="E66" s="10"/>
      <c r="F66" s="9" t="s">
        <v>142</v>
      </c>
      <c r="G66" s="8" t="s">
        <v>236</v>
      </c>
      <c r="H66" s="8" t="s">
        <v>66</v>
      </c>
      <c r="I66" s="8" t="s">
        <v>84</v>
      </c>
      <c r="J66" s="10"/>
      <c r="K66" s="10"/>
      <c r="L66" s="10"/>
      <c r="M66" s="10"/>
      <c r="N66" s="10"/>
      <c r="O66" s="10" t="s">
        <v>68</v>
      </c>
      <c r="P66" s="10" t="s">
        <v>68</v>
      </c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35">
        <v>30</v>
      </c>
      <c r="AD66" s="6"/>
      <c r="AE66" s="3" t="s">
        <v>236</v>
      </c>
    </row>
    <row r="67" spans="1:31">
      <c r="A67" s="11"/>
      <c r="B67" s="10" t="str">
        <f>HYPERLINK("#"&amp;ADDRESS(MATCH($AE67,인터페이스정의서!$A:$A,0),1,,,"인터페이스정의서"),$AE67)</f>
        <v>A0013</v>
      </c>
      <c r="C67" s="10" t="s">
        <v>237</v>
      </c>
      <c r="D67" s="8" t="s">
        <v>63</v>
      </c>
      <c r="E67" s="10"/>
      <c r="F67" s="9" t="s">
        <v>71</v>
      </c>
      <c r="G67" s="8" t="s">
        <v>238</v>
      </c>
      <c r="H67" s="8" t="s">
        <v>73</v>
      </c>
      <c r="I67" s="8" t="s">
        <v>84</v>
      </c>
      <c r="J67" s="10"/>
      <c r="K67" s="10"/>
      <c r="L67" s="10"/>
      <c r="M67" s="10"/>
      <c r="N67" s="10"/>
      <c r="O67" s="10" t="s">
        <v>68</v>
      </c>
      <c r="P67" s="10" t="s">
        <v>68</v>
      </c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35">
        <v>900</v>
      </c>
      <c r="AD67" s="6"/>
      <c r="AE67" s="3" t="s">
        <v>238</v>
      </c>
    </row>
    <row r="68" spans="1:31">
      <c r="A68" s="11"/>
      <c r="B68" s="10" t="str">
        <f>HYPERLINK("#"&amp;ADDRESS(MATCH($AE68,인터페이스정의서!$A:$A,0),1,,,"인터페이스정의서"),$AE68)</f>
        <v>E9013</v>
      </c>
      <c r="C68" s="10" t="s">
        <v>239</v>
      </c>
      <c r="D68" s="8" t="s">
        <v>63</v>
      </c>
      <c r="E68" s="10"/>
      <c r="F68" s="9" t="s">
        <v>71</v>
      </c>
      <c r="G68" s="8" t="s">
        <v>240</v>
      </c>
      <c r="H68" s="8" t="s">
        <v>73</v>
      </c>
      <c r="I68" s="8" t="s">
        <v>84</v>
      </c>
      <c r="J68" s="10"/>
      <c r="K68" s="10"/>
      <c r="L68" s="10"/>
      <c r="M68" s="10"/>
      <c r="N68" s="10"/>
      <c r="O68" s="10" t="s">
        <v>68</v>
      </c>
      <c r="P68" s="10" t="s">
        <v>68</v>
      </c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35">
        <v>120</v>
      </c>
      <c r="AD68" s="6"/>
      <c r="AE68" s="3" t="s">
        <v>240</v>
      </c>
    </row>
    <row r="69" spans="1:31">
      <c r="A69" s="11"/>
      <c r="B69" s="10" t="str">
        <f>HYPERLINK("#"&amp;ADDRESS(MATCH($AE69,인터페이스정의서!$A:$A,0),1,,,"인터페이스정의서"),$AE69)</f>
        <v>E9013</v>
      </c>
      <c r="C69" s="10" t="s">
        <v>241</v>
      </c>
      <c r="D69" s="8" t="s">
        <v>63</v>
      </c>
      <c r="E69" s="10"/>
      <c r="F69" s="9" t="s">
        <v>142</v>
      </c>
      <c r="G69" s="8" t="s">
        <v>242</v>
      </c>
      <c r="H69" s="8" t="s">
        <v>66</v>
      </c>
      <c r="I69" s="8" t="s">
        <v>84</v>
      </c>
      <c r="J69" s="10"/>
      <c r="K69" s="10"/>
      <c r="L69" s="10"/>
      <c r="M69" s="10"/>
      <c r="N69" s="10"/>
      <c r="O69" s="10" t="s">
        <v>68</v>
      </c>
      <c r="P69" s="10" t="s">
        <v>68</v>
      </c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35">
        <v>120</v>
      </c>
      <c r="AD69" s="6"/>
      <c r="AE69" s="3" t="s">
        <v>240</v>
      </c>
    </row>
    <row r="70" spans="1:31" ht="12" thickBot="1">
      <c r="A70" s="11"/>
      <c r="B70" s="121" t="str">
        <f>HYPERLINK("#"&amp;ADDRESS(MATCH($AE70,인터페이스정의서!$A:$A,0),1,,,"인터페이스정의서"),$AE70)</f>
        <v>G5013</v>
      </c>
      <c r="C70" s="121" t="s">
        <v>243</v>
      </c>
      <c r="D70" s="120" t="s">
        <v>63</v>
      </c>
      <c r="E70" s="121"/>
      <c r="F70" s="122" t="s">
        <v>71</v>
      </c>
      <c r="G70" s="120" t="s">
        <v>244</v>
      </c>
      <c r="H70" s="120" t="s">
        <v>73</v>
      </c>
      <c r="I70" s="120" t="s">
        <v>84</v>
      </c>
      <c r="J70" s="121"/>
      <c r="K70" s="121"/>
      <c r="L70" s="121"/>
      <c r="M70" s="121"/>
      <c r="N70" s="121"/>
      <c r="O70" s="121" t="s">
        <v>68</v>
      </c>
      <c r="P70" s="121" t="s">
        <v>68</v>
      </c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3">
        <v>100</v>
      </c>
      <c r="AD70" s="6"/>
      <c r="AE70" s="3" t="s">
        <v>244</v>
      </c>
    </row>
    <row r="71" spans="1:31">
      <c r="A71" s="11"/>
      <c r="B71" s="10" t="str">
        <f>HYPERLINK("#"&amp;ADDRESS(MATCH($AE71,인터페이스정의서!$A:$A,0),1,,,"인터페이스정의서"),$AE71)</f>
        <v>J5077_01</v>
      </c>
      <c r="C71" s="10" t="s">
        <v>245</v>
      </c>
      <c r="D71" s="8" t="s">
        <v>63</v>
      </c>
      <c r="E71" s="10"/>
      <c r="F71" s="9" t="s">
        <v>142</v>
      </c>
      <c r="G71" s="8" t="s">
        <v>246</v>
      </c>
      <c r="H71" s="8" t="s">
        <v>66</v>
      </c>
      <c r="I71" s="8" t="s">
        <v>211</v>
      </c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 t="s">
        <v>68</v>
      </c>
      <c r="U71" s="10" t="s">
        <v>68</v>
      </c>
      <c r="V71" s="10" t="s">
        <v>68</v>
      </c>
      <c r="W71" s="10"/>
      <c r="X71" s="10"/>
      <c r="Y71" s="10"/>
      <c r="Z71" s="10"/>
      <c r="AA71" s="10"/>
      <c r="AB71" s="10"/>
      <c r="AC71" s="35">
        <v>500</v>
      </c>
      <c r="AD71" s="6"/>
      <c r="AE71" s="3" t="s">
        <v>247</v>
      </c>
    </row>
    <row r="72" spans="1:31">
      <c r="A72" s="11"/>
      <c r="B72" s="10" t="str">
        <f>HYPERLINK("#"&amp;ADDRESS(MATCH($AE72,인터페이스정의서!$A:$A,0),1,,,"인터페이스정의서"),$AE72)</f>
        <v>J5077_03</v>
      </c>
      <c r="C72" s="10" t="s">
        <v>248</v>
      </c>
      <c r="D72" s="8"/>
      <c r="E72" s="10"/>
      <c r="F72" s="9"/>
      <c r="G72" s="8"/>
      <c r="H72" s="8"/>
      <c r="I72" s="8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 t="s">
        <v>68</v>
      </c>
      <c r="U72" s="10" t="s">
        <v>68</v>
      </c>
      <c r="V72" s="10" t="s">
        <v>68</v>
      </c>
      <c r="W72" s="10"/>
      <c r="X72" s="10"/>
      <c r="Y72" s="10"/>
      <c r="Z72" s="10"/>
      <c r="AA72" s="10"/>
      <c r="AB72" s="10"/>
      <c r="AC72" s="35">
        <v>500</v>
      </c>
      <c r="AD72" s="6"/>
      <c r="AE72" s="3" t="s">
        <v>249</v>
      </c>
    </row>
    <row r="73" spans="1:31">
      <c r="A73" s="11"/>
      <c r="B73" s="10" t="str">
        <f>HYPERLINK("#"&amp;ADDRESS(MATCH($AE73,인터페이스정의서!$A:$A,0),1,,,"인터페이스정의서"),$AE73)</f>
        <v>J6077</v>
      </c>
      <c r="C73" s="10" t="s">
        <v>250</v>
      </c>
      <c r="D73" s="8" t="s">
        <v>63</v>
      </c>
      <c r="E73" s="10"/>
      <c r="F73" s="9" t="s">
        <v>142</v>
      </c>
      <c r="G73" s="8" t="s">
        <v>251</v>
      </c>
      <c r="H73" s="8" t="s">
        <v>66</v>
      </c>
      <c r="I73" s="8" t="s">
        <v>211</v>
      </c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 t="s">
        <v>68</v>
      </c>
      <c r="U73" s="10" t="s">
        <v>68</v>
      </c>
      <c r="V73" s="10" t="s">
        <v>68</v>
      </c>
      <c r="W73" s="10"/>
      <c r="X73" s="10"/>
      <c r="Y73" s="10"/>
      <c r="Z73" s="10"/>
      <c r="AA73" s="10"/>
      <c r="AB73" s="10"/>
      <c r="AC73" s="35">
        <v>110</v>
      </c>
      <c r="AD73" s="6"/>
      <c r="AE73" s="3" t="s">
        <v>251</v>
      </c>
    </row>
    <row r="74" spans="1:31">
      <c r="A74" s="11"/>
      <c r="B74" s="116" t="str">
        <f>HYPERLINK("#"&amp;ADDRESS(MATCH($AE74,인터페이스정의서!$A:$A,0),1,,,"인터페이스정의서"),$AE74)</f>
        <v>L9077</v>
      </c>
      <c r="C74" s="116" t="s">
        <v>252</v>
      </c>
      <c r="D74" s="81" t="s">
        <v>63</v>
      </c>
      <c r="E74" s="116"/>
      <c r="F74" s="117" t="s">
        <v>142</v>
      </c>
      <c r="G74" s="81" t="s">
        <v>253</v>
      </c>
      <c r="H74" s="81" t="s">
        <v>66</v>
      </c>
      <c r="I74" s="81" t="s">
        <v>211</v>
      </c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 t="s">
        <v>68</v>
      </c>
      <c r="U74" s="116" t="s">
        <v>68</v>
      </c>
      <c r="V74" s="116" t="s">
        <v>68</v>
      </c>
      <c r="W74" s="116"/>
      <c r="X74" s="116"/>
      <c r="Y74" s="116"/>
      <c r="Z74" s="116"/>
      <c r="AA74" s="116"/>
      <c r="AB74" s="116" t="s">
        <v>68</v>
      </c>
      <c r="AC74" s="119">
        <v>150</v>
      </c>
      <c r="AD74" s="6"/>
      <c r="AE74" s="3" t="s">
        <v>253</v>
      </c>
    </row>
    <row r="75" spans="1:31">
      <c r="A75" s="11"/>
      <c r="B75" s="10" t="str">
        <f>HYPERLINK("#"&amp;ADDRESS(MATCH($AE75,인터페이스정의서!$A:$A,0),1,,,"인터페이스정의서"),$AE75)</f>
        <v>C1077</v>
      </c>
      <c r="C75" s="10" t="s">
        <v>254</v>
      </c>
      <c r="D75" s="8" t="s">
        <v>63</v>
      </c>
      <c r="E75" s="10"/>
      <c r="F75" s="9" t="s">
        <v>142</v>
      </c>
      <c r="G75" s="8" t="s">
        <v>255</v>
      </c>
      <c r="H75" s="8" t="s">
        <v>73</v>
      </c>
      <c r="I75" s="8" t="s">
        <v>211</v>
      </c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 t="s">
        <v>68</v>
      </c>
      <c r="U75" s="10" t="s">
        <v>68</v>
      </c>
      <c r="V75" s="10" t="s">
        <v>68</v>
      </c>
      <c r="W75" s="10"/>
      <c r="X75" s="10"/>
      <c r="Y75" s="10"/>
      <c r="Z75" s="10"/>
      <c r="AA75" s="10"/>
      <c r="AB75" s="10"/>
      <c r="AC75" s="35">
        <v>140</v>
      </c>
      <c r="AD75" s="6"/>
      <c r="AE75" s="3" t="s">
        <v>255</v>
      </c>
    </row>
    <row r="76" spans="1:31">
      <c r="A76" s="11"/>
      <c r="B76" s="10" t="str">
        <f>HYPERLINK("#"&amp;ADDRESS(MATCH($AE76,인터페이스정의서!$A:$A,0),1,,,"인터페이스정의서"),$AE76)</f>
        <v>J7077</v>
      </c>
      <c r="C76" s="10" t="s">
        <v>256</v>
      </c>
      <c r="D76" s="8" t="s">
        <v>63</v>
      </c>
      <c r="E76" s="10"/>
      <c r="F76" s="9" t="s">
        <v>142</v>
      </c>
      <c r="G76" s="8" t="s">
        <v>257</v>
      </c>
      <c r="H76" s="8" t="s">
        <v>66</v>
      </c>
      <c r="I76" s="8" t="s">
        <v>211</v>
      </c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 t="s">
        <v>68</v>
      </c>
      <c r="U76" s="10" t="s">
        <v>68</v>
      </c>
      <c r="V76" s="10" t="s">
        <v>68</v>
      </c>
      <c r="W76" s="10"/>
      <c r="X76" s="10"/>
      <c r="Y76" s="10"/>
      <c r="Z76" s="10"/>
      <c r="AA76" s="10"/>
      <c r="AB76" s="10"/>
      <c r="AC76" s="35">
        <v>110</v>
      </c>
      <c r="AD76" s="6"/>
      <c r="AE76" s="3" t="s">
        <v>257</v>
      </c>
    </row>
    <row r="77" spans="1:31">
      <c r="A77" s="11"/>
      <c r="B77" s="10" t="str">
        <f>HYPERLINK("#"&amp;ADDRESS(MATCH($AE77,인터페이스정의서!$A:$A,0),1,,,"인터페이스정의서"),$AE77)</f>
        <v>J8077_NH0</v>
      </c>
      <c r="C77" s="10" t="s">
        <v>258</v>
      </c>
      <c r="D77" s="8" t="s">
        <v>63</v>
      </c>
      <c r="E77" s="10"/>
      <c r="F77" s="9" t="s">
        <v>142</v>
      </c>
      <c r="G77" s="8" t="s">
        <v>259</v>
      </c>
      <c r="H77" s="8" t="s">
        <v>66</v>
      </c>
      <c r="I77" s="8" t="s">
        <v>211</v>
      </c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 t="s">
        <v>68</v>
      </c>
      <c r="U77" s="10" t="s">
        <v>68</v>
      </c>
      <c r="V77" s="10" t="s">
        <v>68</v>
      </c>
      <c r="W77" s="10"/>
      <c r="X77" s="10"/>
      <c r="Y77" s="10"/>
      <c r="Z77" s="10"/>
      <c r="AA77" s="10"/>
      <c r="AB77" s="10"/>
      <c r="AC77" s="35">
        <v>380</v>
      </c>
      <c r="AD77" s="6"/>
      <c r="AE77" s="3" t="s">
        <v>260</v>
      </c>
    </row>
    <row r="78" spans="1:31">
      <c r="A78" s="11"/>
      <c r="B78" s="10" t="str">
        <f>HYPERLINK("#"&amp;ADDRESS(MATCH($AE78,인터페이스정의서!$A:$A,0),1,,,"인터페이스정의서"),$AE78)</f>
        <v>J8077_SI0</v>
      </c>
      <c r="C78" s="10" t="s">
        <v>261</v>
      </c>
      <c r="D78" s="8" t="s">
        <v>63</v>
      </c>
      <c r="E78" s="10"/>
      <c r="F78" s="9" t="s">
        <v>142</v>
      </c>
      <c r="G78" s="8" t="s">
        <v>259</v>
      </c>
      <c r="H78" s="8" t="s">
        <v>66</v>
      </c>
      <c r="I78" s="8" t="s">
        <v>211</v>
      </c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 t="s">
        <v>68</v>
      </c>
      <c r="U78" s="10" t="s">
        <v>68</v>
      </c>
      <c r="V78" s="10" t="s">
        <v>68</v>
      </c>
      <c r="W78" s="10"/>
      <c r="X78" s="10"/>
      <c r="Y78" s="10"/>
      <c r="Z78" s="10"/>
      <c r="AA78" s="10"/>
      <c r="AB78" s="10"/>
      <c r="AC78" s="35">
        <v>380</v>
      </c>
      <c r="AD78" s="6"/>
      <c r="AE78" s="3" t="s">
        <v>262</v>
      </c>
    </row>
    <row r="79" spans="1:31">
      <c r="A79" s="11"/>
      <c r="B79" s="10" t="str">
        <f>HYPERLINK("#"&amp;ADDRESS(MATCH($AE79,인터페이스정의서!$A:$A,0),1,,,"인터페이스정의서"),$AE79)</f>
        <v>J8077_HO0</v>
      </c>
      <c r="C79" s="10" t="s">
        <v>263</v>
      </c>
      <c r="D79" s="8" t="s">
        <v>63</v>
      </c>
      <c r="E79" s="10"/>
      <c r="F79" s="9" t="s">
        <v>142</v>
      </c>
      <c r="G79" s="8" t="s">
        <v>259</v>
      </c>
      <c r="H79" s="8" t="s">
        <v>66</v>
      </c>
      <c r="I79" s="8" t="s">
        <v>211</v>
      </c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 t="s">
        <v>68</v>
      </c>
      <c r="U79" s="10" t="s">
        <v>68</v>
      </c>
      <c r="V79" s="10" t="s">
        <v>68</v>
      </c>
      <c r="W79" s="10"/>
      <c r="X79" s="10"/>
      <c r="Y79" s="10"/>
      <c r="Z79" s="10"/>
      <c r="AA79" s="10"/>
      <c r="AB79" s="10"/>
      <c r="AC79" s="35">
        <v>380</v>
      </c>
      <c r="AD79" s="6"/>
      <c r="AE79" s="3" t="s">
        <v>264</v>
      </c>
    </row>
    <row r="80" spans="1:31">
      <c r="A80" s="11"/>
      <c r="B80" s="173" t="str">
        <f>HYPERLINK("#"&amp;ADDRESS(MATCH($AE80,인터페이스정의서!$A:$A,0),1,,,"인터페이스정의서"),$AE80)</f>
        <v>J8077_DT0</v>
      </c>
      <c r="C80" s="173" t="s">
        <v>265</v>
      </c>
      <c r="D80" s="132" t="s">
        <v>63</v>
      </c>
      <c r="E80" s="173"/>
      <c r="F80" s="174" t="s">
        <v>142</v>
      </c>
      <c r="G80" s="132" t="s">
        <v>259</v>
      </c>
      <c r="H80" s="132" t="s">
        <v>66</v>
      </c>
      <c r="I80" s="132" t="s">
        <v>211</v>
      </c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 t="s">
        <v>68</v>
      </c>
      <c r="U80" s="10" t="s">
        <v>68</v>
      </c>
      <c r="V80" s="10" t="s">
        <v>68</v>
      </c>
      <c r="W80" s="10"/>
      <c r="X80" s="10"/>
      <c r="Y80" s="10"/>
      <c r="Z80" s="10"/>
      <c r="AA80" s="10"/>
      <c r="AB80" s="10"/>
      <c r="AC80" s="35">
        <v>380</v>
      </c>
      <c r="AD80" s="6"/>
      <c r="AE80" s="3" t="s">
        <v>266</v>
      </c>
    </row>
    <row r="81" spans="1:31">
      <c r="A81" s="11"/>
      <c r="B81" s="173" t="str">
        <f>HYPERLINK("#"&amp;ADDRESS(MATCH($AE81,인터페이스정의서!$A:$A,0),1,,,"인터페이스정의서"),$AE81)</f>
        <v>J8077_CH0</v>
      </c>
      <c r="C81" s="173" t="s">
        <v>267</v>
      </c>
      <c r="D81" s="132" t="s">
        <v>63</v>
      </c>
      <c r="E81" s="173"/>
      <c r="F81" s="174" t="s">
        <v>142</v>
      </c>
      <c r="G81" s="132" t="s">
        <v>259</v>
      </c>
      <c r="H81" s="132" t="s">
        <v>66</v>
      </c>
      <c r="I81" s="132" t="s">
        <v>211</v>
      </c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 t="s">
        <v>68</v>
      </c>
      <c r="U81" s="10" t="s">
        <v>68</v>
      </c>
      <c r="V81" s="10" t="s">
        <v>68</v>
      </c>
      <c r="W81" s="10"/>
      <c r="X81" s="10"/>
      <c r="Y81" s="10"/>
      <c r="Z81" s="10"/>
      <c r="AA81" s="10"/>
      <c r="AB81" s="10"/>
      <c r="AC81" s="35">
        <v>380</v>
      </c>
      <c r="AD81" s="6"/>
      <c r="AE81" s="3" t="s">
        <v>268</v>
      </c>
    </row>
    <row r="82" spans="1:31">
      <c r="A82" s="11"/>
      <c r="B82" s="173" t="str">
        <f>HYPERLINK("#"&amp;ADDRESS(MATCH($AE82,인터페이스정의서!$A:$A,0),1,,,"인터페이스정의서"),$AE82)</f>
        <v>J8077_BG0</v>
      </c>
      <c r="C82" s="173" t="s">
        <v>269</v>
      </c>
      <c r="D82" s="132" t="s">
        <v>63</v>
      </c>
      <c r="E82" s="173"/>
      <c r="F82" s="174" t="s">
        <v>142</v>
      </c>
      <c r="G82" s="132" t="s">
        <v>259</v>
      </c>
      <c r="H82" s="132" t="s">
        <v>66</v>
      </c>
      <c r="I82" s="132" t="s">
        <v>211</v>
      </c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 t="s">
        <v>68</v>
      </c>
      <c r="U82" s="10" t="s">
        <v>68</v>
      </c>
      <c r="V82" s="10" t="s">
        <v>68</v>
      </c>
      <c r="W82" s="10"/>
      <c r="X82" s="10"/>
      <c r="Y82" s="10"/>
      <c r="Z82" s="10"/>
      <c r="AA82" s="10"/>
      <c r="AB82" s="10"/>
      <c r="AC82" s="35">
        <v>380</v>
      </c>
      <c r="AD82" s="6"/>
      <c r="AE82" s="3" t="s">
        <v>270</v>
      </c>
    </row>
    <row r="83" spans="1:31">
      <c r="A83" s="11"/>
      <c r="B83" s="173" t="str">
        <f>HYPERLINK("#"&amp;ADDRESS(MATCH($AE83,인터페이스정의서!$A:$A,0),1,,,"인터페이스정의서"),$AE83)</f>
        <v>J8077_ED0</v>
      </c>
      <c r="C83" s="173" t="s">
        <v>271</v>
      </c>
      <c r="D83" s="132" t="s">
        <v>63</v>
      </c>
      <c r="E83" s="173"/>
      <c r="F83" s="174" t="s">
        <v>142</v>
      </c>
      <c r="G83" s="132" t="s">
        <v>259</v>
      </c>
      <c r="H83" s="132" t="s">
        <v>66</v>
      </c>
      <c r="I83" s="132" t="s">
        <v>211</v>
      </c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 t="s">
        <v>68</v>
      </c>
      <c r="U83" s="10" t="s">
        <v>68</v>
      </c>
      <c r="V83" s="10" t="s">
        <v>68</v>
      </c>
      <c r="W83" s="10"/>
      <c r="X83" s="10"/>
      <c r="Y83" s="10"/>
      <c r="Z83" s="10"/>
      <c r="AA83" s="10"/>
      <c r="AB83" s="10"/>
      <c r="AC83" s="35">
        <v>380</v>
      </c>
      <c r="AD83" s="6"/>
      <c r="AE83" s="3" t="s">
        <v>272</v>
      </c>
    </row>
    <row r="84" spans="1:31">
      <c r="A84" s="11"/>
      <c r="B84" s="10" t="str">
        <f>HYPERLINK("#"&amp;ADDRESS(MATCH($AE84,인터페이스정의서!$A:$A,0),1,,,"인터페이스정의서"),$AE84)</f>
        <v>H8000_D</v>
      </c>
      <c r="C84" s="10" t="s">
        <v>273</v>
      </c>
      <c r="D84" s="8" t="s">
        <v>63</v>
      </c>
      <c r="E84" s="10"/>
      <c r="F84" s="9" t="s">
        <v>142</v>
      </c>
      <c r="G84" s="8" t="s">
        <v>274</v>
      </c>
      <c r="H84" s="8" t="s">
        <v>66</v>
      </c>
      <c r="I84" s="8" t="s">
        <v>275</v>
      </c>
      <c r="J84" s="10"/>
      <c r="K84" s="10"/>
      <c r="L84" s="10"/>
      <c r="M84" s="10" t="s">
        <v>68</v>
      </c>
      <c r="N84" s="10" t="s">
        <v>68</v>
      </c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35">
        <v>101</v>
      </c>
      <c r="AD84" s="6"/>
      <c r="AE84" s="3" t="s">
        <v>276</v>
      </c>
    </row>
    <row r="85" spans="1:31">
      <c r="A85" s="11"/>
      <c r="B85" s="10" t="str">
        <f>HYPERLINK("#"&amp;ADDRESS(MATCH($AE85,인터페이스정의서!$A:$A,0),1,,,"인터페이스정의서"),$AE85)</f>
        <v>H8000_L</v>
      </c>
      <c r="C85" s="10" t="s">
        <v>277</v>
      </c>
      <c r="D85" s="8" t="s">
        <v>63</v>
      </c>
      <c r="E85" s="10"/>
      <c r="F85" s="9" t="s">
        <v>142</v>
      </c>
      <c r="G85" s="8" t="s">
        <v>274</v>
      </c>
      <c r="H85" s="8" t="s">
        <v>66</v>
      </c>
      <c r="I85" s="8" t="s">
        <v>275</v>
      </c>
      <c r="J85" s="10"/>
      <c r="K85" s="10"/>
      <c r="L85" s="10"/>
      <c r="M85" s="10" t="s">
        <v>68</v>
      </c>
      <c r="N85" s="10" t="s">
        <v>68</v>
      </c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35">
        <v>101</v>
      </c>
      <c r="AD85" s="6"/>
      <c r="AE85" s="3" t="s">
        <v>278</v>
      </c>
    </row>
    <row r="86" spans="1:31">
      <c r="A86" s="11"/>
      <c r="B86" s="10" t="str">
        <f>HYPERLINK("#"&amp;ADDRESS(MATCH($AE86,인터페이스정의서!$A:$A,0),1,,,"인터페이스정의서"),$AE86)</f>
        <v>H8000_E</v>
      </c>
      <c r="C86" s="10" t="s">
        <v>279</v>
      </c>
      <c r="D86" s="8" t="s">
        <v>63</v>
      </c>
      <c r="E86" s="10"/>
      <c r="F86" s="9" t="s">
        <v>142</v>
      </c>
      <c r="G86" s="8" t="s">
        <v>274</v>
      </c>
      <c r="H86" s="8" t="s">
        <v>66</v>
      </c>
      <c r="I86" s="8" t="s">
        <v>275</v>
      </c>
      <c r="J86" s="10"/>
      <c r="K86" s="10"/>
      <c r="L86" s="10"/>
      <c r="M86" s="10" t="s">
        <v>68</v>
      </c>
      <c r="N86" s="10" t="s">
        <v>68</v>
      </c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 t="s">
        <v>68</v>
      </c>
      <c r="AC86" s="35">
        <v>101</v>
      </c>
      <c r="AD86" s="6"/>
      <c r="AE86" s="3" t="s">
        <v>280</v>
      </c>
    </row>
  </sheetData>
  <autoFilter ref="A4:AD86" xr:uid="{00000000-0009-0000-0000-000002000000}"/>
  <mergeCells count="13">
    <mergeCell ref="A1:A3"/>
    <mergeCell ref="F1:F3"/>
    <mergeCell ref="AD1:AD3"/>
    <mergeCell ref="AC1:AC3"/>
    <mergeCell ref="B1:B3"/>
    <mergeCell ref="D1:D3"/>
    <mergeCell ref="E1:E3"/>
    <mergeCell ref="C1:C3"/>
    <mergeCell ref="AE1:AE3"/>
    <mergeCell ref="G1:G3"/>
    <mergeCell ref="H1:H3"/>
    <mergeCell ref="I1:I3"/>
    <mergeCell ref="J1:AB1"/>
  </mergeCells>
  <phoneticPr fontId="27" type="noConversion"/>
  <pageMargins left="0.7086111307144165" right="0.7086111307144165" top="0.74750000238418579" bottom="0.74750000238418579" header="0.31486111879348755" footer="0.31486111879348755"/>
  <pageSetup paperSize="9" scale="45" fitToHeight="0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K942"/>
  <sheetViews>
    <sheetView zoomScaleNormal="100" zoomScaleSheetLayoutView="80" workbookViewId="0">
      <pane xSplit="2" ySplit="1" topLeftCell="C699" activePane="bottomRight" state="frozen"/>
      <selection pane="bottomRight" activeCell="A699" sqref="A699"/>
      <selection pane="bottomLeft"/>
      <selection pane="topRight"/>
    </sheetView>
  </sheetViews>
  <sheetFormatPr defaultColWidth="9" defaultRowHeight="11.25"/>
  <cols>
    <col min="1" max="1" width="9.75" style="21" bestFit="1" customWidth="1"/>
    <col min="2" max="2" width="27.625" style="33" bestFit="1" customWidth="1"/>
    <col min="3" max="3" width="6.25" style="20" bestFit="1" customWidth="1"/>
    <col min="4" max="4" width="23.5" style="21" bestFit="1" customWidth="1"/>
    <col min="5" max="5" width="8.875" style="20" bestFit="1" customWidth="1"/>
    <col min="6" max="6" width="7.5" style="19" bestFit="1" customWidth="1"/>
    <col min="7" max="7" width="5.75" style="19" bestFit="1" customWidth="1"/>
    <col min="8" max="8" width="7.5" style="19" bestFit="1" customWidth="1"/>
    <col min="9" max="9" width="51.5" style="34" customWidth="1"/>
    <col min="10" max="10" width="7.625" style="34" customWidth="1"/>
    <col min="11" max="11" width="7.75" style="3" customWidth="1"/>
    <col min="12" max="16384" width="9" style="3"/>
  </cols>
  <sheetData>
    <row r="1" spans="1:11" s="4" customFormat="1" ht="22.5">
      <c r="A1" s="26" t="s">
        <v>281</v>
      </c>
      <c r="B1" s="26" t="s">
        <v>282</v>
      </c>
      <c r="C1" s="26" t="s">
        <v>283</v>
      </c>
      <c r="D1" s="26" t="s">
        <v>284</v>
      </c>
      <c r="E1" s="209" t="s">
        <v>285</v>
      </c>
      <c r="F1" s="208" t="s">
        <v>286</v>
      </c>
      <c r="G1" s="26" t="s">
        <v>287</v>
      </c>
      <c r="H1" s="209" t="s">
        <v>288</v>
      </c>
      <c r="I1" s="26" t="s">
        <v>289</v>
      </c>
      <c r="J1" s="26"/>
      <c r="K1" s="26"/>
    </row>
    <row r="2" spans="1:11">
      <c r="A2" s="25" t="s">
        <v>69</v>
      </c>
      <c r="B2" s="24" t="s">
        <v>62</v>
      </c>
      <c r="C2" s="207">
        <v>1</v>
      </c>
      <c r="D2" s="138" t="s">
        <v>290</v>
      </c>
      <c r="E2" s="27">
        <v>0</v>
      </c>
      <c r="F2" s="210" t="s">
        <v>291</v>
      </c>
      <c r="G2" s="23">
        <v>2</v>
      </c>
      <c r="H2" s="23">
        <v>2</v>
      </c>
      <c r="I2" s="22" t="s">
        <v>292</v>
      </c>
      <c r="J2" s="23"/>
      <c r="K2" s="23"/>
    </row>
    <row r="3" spans="1:11">
      <c r="A3" s="25" t="s">
        <v>293</v>
      </c>
      <c r="B3" s="24" t="s">
        <v>62</v>
      </c>
      <c r="C3" s="207">
        <v>2</v>
      </c>
      <c r="D3" s="138" t="s">
        <v>294</v>
      </c>
      <c r="E3" s="27">
        <v>0</v>
      </c>
      <c r="F3" s="211" t="s">
        <v>291</v>
      </c>
      <c r="G3" s="23">
        <v>3</v>
      </c>
      <c r="H3" s="23">
        <v>5</v>
      </c>
      <c r="I3" s="22" t="s">
        <v>295</v>
      </c>
      <c r="J3" s="23"/>
      <c r="K3" s="23"/>
    </row>
    <row r="4" spans="1:11">
      <c r="A4" s="25" t="s">
        <v>293</v>
      </c>
      <c r="B4" s="24" t="s">
        <v>62</v>
      </c>
      <c r="C4" s="207">
        <v>3</v>
      </c>
      <c r="D4" s="138" t="s">
        <v>296</v>
      </c>
      <c r="E4" s="27">
        <v>0</v>
      </c>
      <c r="F4" s="212" t="s">
        <v>291</v>
      </c>
      <c r="G4" s="23">
        <v>4</v>
      </c>
      <c r="H4" s="23">
        <v>9</v>
      </c>
      <c r="I4" s="22" t="s">
        <v>297</v>
      </c>
      <c r="J4" s="23"/>
      <c r="K4" s="23"/>
    </row>
    <row r="5" spans="1:11">
      <c r="A5" s="25" t="s">
        <v>293</v>
      </c>
      <c r="B5" s="80" t="s">
        <v>62</v>
      </c>
      <c r="C5" s="145">
        <v>4</v>
      </c>
      <c r="D5" s="36" t="s">
        <v>298</v>
      </c>
      <c r="E5" s="73">
        <v>0</v>
      </c>
      <c r="F5" s="213" t="s">
        <v>291</v>
      </c>
      <c r="G5" s="74">
        <v>1</v>
      </c>
      <c r="H5" s="74">
        <v>10</v>
      </c>
      <c r="I5" s="36" t="s">
        <v>299</v>
      </c>
      <c r="J5" s="74"/>
      <c r="K5" s="74"/>
    </row>
    <row r="6" spans="1:11">
      <c r="A6" s="25" t="s">
        <v>75</v>
      </c>
      <c r="B6" s="79" t="s">
        <v>300</v>
      </c>
      <c r="C6" s="153">
        <v>1</v>
      </c>
      <c r="D6" s="138" t="s">
        <v>290</v>
      </c>
      <c r="E6" s="78">
        <v>0</v>
      </c>
      <c r="F6" s="210" t="s">
        <v>291</v>
      </c>
      <c r="G6" s="76">
        <v>2</v>
      </c>
      <c r="H6" s="76">
        <v>2</v>
      </c>
      <c r="I6" s="75" t="s">
        <v>301</v>
      </c>
      <c r="J6" s="76"/>
      <c r="K6" s="76"/>
    </row>
    <row r="7" spans="1:11">
      <c r="A7" s="181" t="s">
        <v>75</v>
      </c>
      <c r="B7" s="182" t="s">
        <v>300</v>
      </c>
      <c r="C7" s="194">
        <v>2</v>
      </c>
      <c r="D7" s="184" t="s">
        <v>302</v>
      </c>
      <c r="E7" s="185">
        <v>0</v>
      </c>
      <c r="F7" s="214" t="s">
        <v>291</v>
      </c>
      <c r="G7" s="186">
        <v>3</v>
      </c>
      <c r="H7" s="186">
        <f t="shared" ref="H7:H17" si="0">H6+G7</f>
        <v>5</v>
      </c>
      <c r="I7" s="187" t="s">
        <v>303</v>
      </c>
      <c r="J7" s="23"/>
      <c r="K7" s="23"/>
    </row>
    <row r="8" spans="1:11">
      <c r="A8" s="25" t="s">
        <v>75</v>
      </c>
      <c r="B8" s="24" t="s">
        <v>300</v>
      </c>
      <c r="C8" s="207">
        <v>3</v>
      </c>
      <c r="D8" s="138" t="s">
        <v>304</v>
      </c>
      <c r="E8" s="27">
        <v>0</v>
      </c>
      <c r="F8" s="211" t="s">
        <v>291</v>
      </c>
      <c r="G8" s="23">
        <v>12</v>
      </c>
      <c r="H8" s="23">
        <f t="shared" si="0"/>
        <v>17</v>
      </c>
      <c r="I8" s="22" t="s">
        <v>305</v>
      </c>
      <c r="J8" s="23"/>
      <c r="K8" s="23"/>
    </row>
    <row r="9" spans="1:11">
      <c r="A9" s="25" t="s">
        <v>75</v>
      </c>
      <c r="B9" s="24" t="s">
        <v>300</v>
      </c>
      <c r="C9" s="153">
        <v>4</v>
      </c>
      <c r="D9" s="138" t="s">
        <v>306</v>
      </c>
      <c r="E9" s="27">
        <v>0</v>
      </c>
      <c r="F9" s="211" t="s">
        <v>307</v>
      </c>
      <c r="G9" s="23">
        <v>8</v>
      </c>
      <c r="H9" s="23">
        <f t="shared" si="0"/>
        <v>25</v>
      </c>
      <c r="I9" s="22" t="s">
        <v>308</v>
      </c>
      <c r="J9" s="23"/>
      <c r="K9" s="23"/>
    </row>
    <row r="10" spans="1:11">
      <c r="A10" s="25" t="s">
        <v>75</v>
      </c>
      <c r="B10" s="24" t="s">
        <v>300</v>
      </c>
      <c r="C10" s="207">
        <v>5</v>
      </c>
      <c r="D10" s="138" t="s">
        <v>309</v>
      </c>
      <c r="E10" s="27">
        <v>0</v>
      </c>
      <c r="F10" s="211" t="s">
        <v>291</v>
      </c>
      <c r="G10" s="23">
        <v>8</v>
      </c>
      <c r="H10" s="23">
        <f t="shared" si="0"/>
        <v>33</v>
      </c>
      <c r="I10" s="22" t="s">
        <v>310</v>
      </c>
      <c r="J10" s="23"/>
      <c r="K10" s="23"/>
    </row>
    <row r="11" spans="1:11">
      <c r="A11" s="25" t="s">
        <v>75</v>
      </c>
      <c r="B11" s="24" t="s">
        <v>300</v>
      </c>
      <c r="C11" s="153">
        <v>6</v>
      </c>
      <c r="D11" s="138" t="s">
        <v>311</v>
      </c>
      <c r="E11" s="27">
        <v>4</v>
      </c>
      <c r="F11" s="211" t="s">
        <v>312</v>
      </c>
      <c r="G11" s="23">
        <v>5</v>
      </c>
      <c r="H11" s="23">
        <f t="shared" si="0"/>
        <v>38</v>
      </c>
      <c r="I11" s="22" t="s">
        <v>313</v>
      </c>
      <c r="J11" s="23"/>
      <c r="K11" s="23"/>
    </row>
    <row r="12" spans="1:11">
      <c r="A12" s="25" t="s">
        <v>75</v>
      </c>
      <c r="B12" s="24" t="s">
        <v>300</v>
      </c>
      <c r="C12" s="207">
        <v>7</v>
      </c>
      <c r="D12" s="138" t="s">
        <v>314</v>
      </c>
      <c r="E12" s="27">
        <v>4</v>
      </c>
      <c r="F12" s="211" t="s">
        <v>312</v>
      </c>
      <c r="G12" s="23">
        <v>5</v>
      </c>
      <c r="H12" s="23">
        <f t="shared" si="0"/>
        <v>43</v>
      </c>
      <c r="I12" s="22" t="s">
        <v>313</v>
      </c>
      <c r="J12" s="23"/>
      <c r="K12" s="23"/>
    </row>
    <row r="13" spans="1:11">
      <c r="A13" s="25" t="s">
        <v>75</v>
      </c>
      <c r="B13" s="24" t="s">
        <v>300</v>
      </c>
      <c r="C13" s="153">
        <v>8</v>
      </c>
      <c r="D13" s="138" t="s">
        <v>315</v>
      </c>
      <c r="E13" s="27">
        <v>0</v>
      </c>
      <c r="F13" s="211" t="s">
        <v>307</v>
      </c>
      <c r="G13" s="23">
        <v>15</v>
      </c>
      <c r="H13" s="23">
        <f t="shared" si="0"/>
        <v>58</v>
      </c>
      <c r="I13" s="22" t="s">
        <v>316</v>
      </c>
      <c r="J13" s="23"/>
      <c r="K13" s="23"/>
    </row>
    <row r="14" spans="1:11">
      <c r="A14" s="25" t="s">
        <v>75</v>
      </c>
      <c r="B14" s="24" t="s">
        <v>300</v>
      </c>
      <c r="C14" s="207">
        <v>9</v>
      </c>
      <c r="D14" s="138" t="s">
        <v>317</v>
      </c>
      <c r="E14" s="27">
        <v>0</v>
      </c>
      <c r="F14" s="211" t="s">
        <v>307</v>
      </c>
      <c r="G14" s="23">
        <v>15</v>
      </c>
      <c r="H14" s="23">
        <f t="shared" si="0"/>
        <v>73</v>
      </c>
      <c r="I14" s="22" t="s">
        <v>316</v>
      </c>
      <c r="J14" s="23"/>
      <c r="K14" s="23"/>
    </row>
    <row r="15" spans="1:11">
      <c r="A15" s="25" t="s">
        <v>75</v>
      </c>
      <c r="B15" s="24" t="s">
        <v>300</v>
      </c>
      <c r="C15" s="153">
        <v>10</v>
      </c>
      <c r="D15" s="138" t="s">
        <v>318</v>
      </c>
      <c r="E15" s="27">
        <v>0</v>
      </c>
      <c r="F15" s="211" t="s">
        <v>291</v>
      </c>
      <c r="G15" s="23">
        <v>1</v>
      </c>
      <c r="H15" s="23">
        <f t="shared" si="0"/>
        <v>74</v>
      </c>
      <c r="I15" s="22" t="s">
        <v>319</v>
      </c>
      <c r="J15" s="23"/>
      <c r="K15" s="23"/>
    </row>
    <row r="16" spans="1:11">
      <c r="A16" s="25" t="s">
        <v>75</v>
      </c>
      <c r="B16" s="24" t="s">
        <v>300</v>
      </c>
      <c r="C16" s="207">
        <v>11</v>
      </c>
      <c r="D16" s="138" t="s">
        <v>320</v>
      </c>
      <c r="E16" s="27">
        <v>0</v>
      </c>
      <c r="F16" s="211" t="s">
        <v>291</v>
      </c>
      <c r="G16" s="23">
        <v>5</v>
      </c>
      <c r="H16" s="23">
        <f t="shared" si="0"/>
        <v>79</v>
      </c>
      <c r="I16" s="22" t="s">
        <v>321</v>
      </c>
      <c r="J16" s="23"/>
      <c r="K16" s="23"/>
    </row>
    <row r="17" spans="1:11">
      <c r="A17" s="25" t="s">
        <v>75</v>
      </c>
      <c r="B17" s="80" t="s">
        <v>300</v>
      </c>
      <c r="C17" s="149">
        <v>12</v>
      </c>
      <c r="D17" s="139" t="s">
        <v>298</v>
      </c>
      <c r="E17" s="73">
        <v>0</v>
      </c>
      <c r="F17" s="213" t="s">
        <v>291</v>
      </c>
      <c r="G17" s="74">
        <v>1</v>
      </c>
      <c r="H17" s="145">
        <f t="shared" si="0"/>
        <v>80</v>
      </c>
      <c r="I17" s="36" t="s">
        <v>299</v>
      </c>
      <c r="J17" s="74"/>
      <c r="K17" s="74"/>
    </row>
    <row r="18" spans="1:11">
      <c r="A18" s="77" t="s">
        <v>92</v>
      </c>
      <c r="B18" s="79" t="s">
        <v>322</v>
      </c>
      <c r="C18" s="153">
        <v>1</v>
      </c>
      <c r="D18" s="138" t="s">
        <v>290</v>
      </c>
      <c r="E18" s="78">
        <v>0</v>
      </c>
      <c r="F18" s="210" t="s">
        <v>291</v>
      </c>
      <c r="G18" s="76">
        <v>2</v>
      </c>
      <c r="H18" s="76">
        <v>2</v>
      </c>
      <c r="I18" s="75" t="s">
        <v>323</v>
      </c>
      <c r="J18" s="76"/>
      <c r="K18" s="76"/>
    </row>
    <row r="19" spans="1:11">
      <c r="A19" s="181" t="s">
        <v>92</v>
      </c>
      <c r="B19" s="182" t="s">
        <v>322</v>
      </c>
      <c r="C19" s="194">
        <v>2</v>
      </c>
      <c r="D19" s="184" t="s">
        <v>302</v>
      </c>
      <c r="E19" s="185">
        <v>0</v>
      </c>
      <c r="F19" s="214" t="s">
        <v>291</v>
      </c>
      <c r="G19" s="186">
        <v>3</v>
      </c>
      <c r="H19" s="186">
        <f t="shared" ref="H19:H24" si="1">H18+G19</f>
        <v>5</v>
      </c>
      <c r="I19" s="187" t="s">
        <v>303</v>
      </c>
      <c r="J19" s="217"/>
      <c r="K19" s="23"/>
    </row>
    <row r="20" spans="1:11">
      <c r="A20" s="77" t="s">
        <v>92</v>
      </c>
      <c r="B20" s="24" t="s">
        <v>322</v>
      </c>
      <c r="C20" s="207">
        <v>3</v>
      </c>
      <c r="D20" s="138" t="s">
        <v>304</v>
      </c>
      <c r="E20" s="78">
        <v>0</v>
      </c>
      <c r="F20" s="211" t="s">
        <v>291</v>
      </c>
      <c r="G20" s="76">
        <v>12</v>
      </c>
      <c r="H20" s="23">
        <f t="shared" si="1"/>
        <v>17</v>
      </c>
      <c r="I20" s="75" t="s">
        <v>305</v>
      </c>
      <c r="J20" s="76"/>
      <c r="K20" s="76"/>
    </row>
    <row r="21" spans="1:11">
      <c r="A21" s="77" t="s">
        <v>92</v>
      </c>
      <c r="B21" s="24" t="s">
        <v>322</v>
      </c>
      <c r="C21" s="153">
        <v>4</v>
      </c>
      <c r="D21" s="138" t="s">
        <v>317</v>
      </c>
      <c r="E21" s="78">
        <v>0</v>
      </c>
      <c r="F21" s="211" t="s">
        <v>307</v>
      </c>
      <c r="G21" s="76">
        <v>15</v>
      </c>
      <c r="H21" s="23">
        <f t="shared" si="1"/>
        <v>32</v>
      </c>
      <c r="I21" s="75" t="s">
        <v>324</v>
      </c>
      <c r="J21" s="76"/>
      <c r="K21" s="76"/>
    </row>
    <row r="22" spans="1:11">
      <c r="A22" s="77" t="s">
        <v>92</v>
      </c>
      <c r="B22" s="24" t="s">
        <v>322</v>
      </c>
      <c r="C22" s="207">
        <v>5</v>
      </c>
      <c r="D22" s="138" t="s">
        <v>325</v>
      </c>
      <c r="E22" s="78">
        <v>0</v>
      </c>
      <c r="F22" s="211" t="s">
        <v>291</v>
      </c>
      <c r="G22" s="76">
        <v>2</v>
      </c>
      <c r="H22" s="23">
        <f t="shared" si="1"/>
        <v>34</v>
      </c>
      <c r="I22" s="75" t="s">
        <v>326</v>
      </c>
      <c r="J22" s="76"/>
      <c r="K22" s="76"/>
    </row>
    <row r="23" spans="1:11">
      <c r="A23" s="77" t="s">
        <v>92</v>
      </c>
      <c r="B23" s="24" t="s">
        <v>322</v>
      </c>
      <c r="C23" s="153">
        <v>6</v>
      </c>
      <c r="D23" s="138" t="s">
        <v>320</v>
      </c>
      <c r="E23" s="78">
        <v>0</v>
      </c>
      <c r="F23" s="212" t="s">
        <v>291</v>
      </c>
      <c r="G23" s="76">
        <v>5</v>
      </c>
      <c r="H23" s="23">
        <f t="shared" si="1"/>
        <v>39</v>
      </c>
      <c r="I23" s="75" t="s">
        <v>321</v>
      </c>
      <c r="J23" s="76"/>
      <c r="K23" s="76"/>
    </row>
    <row r="24" spans="1:11">
      <c r="A24" s="77" t="s">
        <v>92</v>
      </c>
      <c r="B24" s="80" t="s">
        <v>322</v>
      </c>
      <c r="C24" s="145">
        <v>7</v>
      </c>
      <c r="D24" s="139" t="s">
        <v>298</v>
      </c>
      <c r="E24" s="73">
        <v>0</v>
      </c>
      <c r="F24" s="213" t="s">
        <v>291</v>
      </c>
      <c r="G24" s="74">
        <v>1</v>
      </c>
      <c r="H24" s="81">
        <f t="shared" si="1"/>
        <v>40</v>
      </c>
      <c r="I24" s="82" t="s">
        <v>299</v>
      </c>
      <c r="J24" s="74"/>
      <c r="K24" s="74"/>
    </row>
    <row r="25" spans="1:11">
      <c r="A25" s="77" t="s">
        <v>327</v>
      </c>
      <c r="B25" s="79" t="s">
        <v>328</v>
      </c>
      <c r="C25" s="153">
        <v>1</v>
      </c>
      <c r="D25" s="138" t="s">
        <v>290</v>
      </c>
      <c r="E25" s="78">
        <v>0</v>
      </c>
      <c r="F25" s="210" t="s">
        <v>291</v>
      </c>
      <c r="G25" s="76">
        <v>2</v>
      </c>
      <c r="H25" s="76">
        <v>2</v>
      </c>
      <c r="I25" s="75" t="s">
        <v>329</v>
      </c>
      <c r="J25" s="76"/>
      <c r="K25" s="76"/>
    </row>
    <row r="26" spans="1:11">
      <c r="A26" s="181" t="s">
        <v>103</v>
      </c>
      <c r="B26" s="182" t="s">
        <v>328</v>
      </c>
      <c r="C26" s="194">
        <v>2</v>
      </c>
      <c r="D26" s="184" t="s">
        <v>302</v>
      </c>
      <c r="E26" s="185">
        <v>0</v>
      </c>
      <c r="F26" s="214" t="s">
        <v>291</v>
      </c>
      <c r="G26" s="186">
        <v>3</v>
      </c>
      <c r="H26" s="186">
        <f t="shared" ref="H26:H34" si="2">H25+G26</f>
        <v>5</v>
      </c>
      <c r="I26" s="187" t="s">
        <v>303</v>
      </c>
      <c r="J26" s="23"/>
      <c r="K26" s="23"/>
    </row>
    <row r="27" spans="1:11">
      <c r="A27" s="77" t="s">
        <v>103</v>
      </c>
      <c r="B27" s="79" t="s">
        <v>328</v>
      </c>
      <c r="C27" s="207">
        <v>3</v>
      </c>
      <c r="D27" s="138" t="s">
        <v>304</v>
      </c>
      <c r="E27" s="78">
        <v>0</v>
      </c>
      <c r="F27" s="211" t="s">
        <v>291</v>
      </c>
      <c r="G27" s="76">
        <v>12</v>
      </c>
      <c r="H27" s="23">
        <f t="shared" si="2"/>
        <v>17</v>
      </c>
      <c r="I27" s="75" t="s">
        <v>305</v>
      </c>
      <c r="J27" s="76"/>
      <c r="K27" s="76"/>
    </row>
    <row r="28" spans="1:11">
      <c r="A28" s="77" t="s">
        <v>103</v>
      </c>
      <c r="B28" s="79" t="s">
        <v>328</v>
      </c>
      <c r="C28" s="153">
        <v>4</v>
      </c>
      <c r="D28" s="138" t="s">
        <v>325</v>
      </c>
      <c r="E28" s="78">
        <v>0</v>
      </c>
      <c r="F28" s="211" t="s">
        <v>291</v>
      </c>
      <c r="G28" s="76">
        <v>2</v>
      </c>
      <c r="H28" s="76">
        <f t="shared" si="2"/>
        <v>19</v>
      </c>
      <c r="I28" s="75" t="s">
        <v>330</v>
      </c>
      <c r="J28" s="76"/>
      <c r="K28" s="76"/>
    </row>
    <row r="29" spans="1:11">
      <c r="A29" s="77" t="s">
        <v>103</v>
      </c>
      <c r="B29" s="79" t="s">
        <v>328</v>
      </c>
      <c r="C29" s="207">
        <v>5</v>
      </c>
      <c r="D29" s="138" t="s">
        <v>331</v>
      </c>
      <c r="E29" s="78">
        <v>0</v>
      </c>
      <c r="F29" s="211" t="s">
        <v>291</v>
      </c>
      <c r="G29" s="76">
        <v>1</v>
      </c>
      <c r="H29" s="76">
        <f t="shared" si="2"/>
        <v>20</v>
      </c>
      <c r="I29" s="75" t="s">
        <v>332</v>
      </c>
      <c r="J29" s="76"/>
      <c r="K29" s="76"/>
    </row>
    <row r="30" spans="1:11">
      <c r="A30" s="77" t="s">
        <v>103</v>
      </c>
      <c r="B30" s="79" t="s">
        <v>328</v>
      </c>
      <c r="C30" s="153">
        <v>6</v>
      </c>
      <c r="D30" s="138" t="s">
        <v>333</v>
      </c>
      <c r="E30" s="78">
        <v>0</v>
      </c>
      <c r="F30" s="211" t="s">
        <v>291</v>
      </c>
      <c r="G30" s="76">
        <v>8</v>
      </c>
      <c r="H30" s="76">
        <f t="shared" si="2"/>
        <v>28</v>
      </c>
      <c r="I30" s="75" t="s">
        <v>310</v>
      </c>
      <c r="J30" s="76"/>
      <c r="K30" s="76"/>
    </row>
    <row r="31" spans="1:11">
      <c r="A31" s="77" t="s">
        <v>103</v>
      </c>
      <c r="B31" s="79" t="s">
        <v>328</v>
      </c>
      <c r="C31" s="207">
        <v>7</v>
      </c>
      <c r="D31" s="138" t="s">
        <v>334</v>
      </c>
      <c r="E31" s="78">
        <v>0</v>
      </c>
      <c r="F31" s="211" t="s">
        <v>291</v>
      </c>
      <c r="G31" s="76">
        <v>4</v>
      </c>
      <c r="H31" s="76">
        <f t="shared" si="2"/>
        <v>32</v>
      </c>
      <c r="I31" s="75" t="s">
        <v>335</v>
      </c>
      <c r="J31" s="76"/>
      <c r="K31" s="76"/>
    </row>
    <row r="32" spans="1:11">
      <c r="A32" s="77" t="s">
        <v>103</v>
      </c>
      <c r="B32" s="79" t="s">
        <v>328</v>
      </c>
      <c r="C32" s="153">
        <v>8</v>
      </c>
      <c r="D32" s="138" t="s">
        <v>336</v>
      </c>
      <c r="E32" s="78">
        <v>0</v>
      </c>
      <c r="F32" s="211" t="s">
        <v>291</v>
      </c>
      <c r="G32" s="76">
        <v>4</v>
      </c>
      <c r="H32" s="76">
        <f t="shared" si="2"/>
        <v>36</v>
      </c>
      <c r="I32" s="75" t="s">
        <v>335</v>
      </c>
      <c r="J32" s="76"/>
      <c r="K32" s="76"/>
    </row>
    <row r="33" spans="1:11">
      <c r="A33" s="77" t="s">
        <v>103</v>
      </c>
      <c r="B33" s="79" t="s">
        <v>328</v>
      </c>
      <c r="C33" s="207">
        <v>9</v>
      </c>
      <c r="D33" s="138" t="s">
        <v>320</v>
      </c>
      <c r="E33" s="78">
        <v>0</v>
      </c>
      <c r="F33" s="211" t="s">
        <v>291</v>
      </c>
      <c r="G33" s="76">
        <v>3</v>
      </c>
      <c r="H33" s="76">
        <f t="shared" si="2"/>
        <v>39</v>
      </c>
      <c r="I33" s="75" t="s">
        <v>321</v>
      </c>
      <c r="J33" s="76"/>
      <c r="K33" s="76"/>
    </row>
    <row r="34" spans="1:11">
      <c r="A34" s="77" t="s">
        <v>103</v>
      </c>
      <c r="B34" s="83" t="s">
        <v>328</v>
      </c>
      <c r="C34" s="149">
        <v>10</v>
      </c>
      <c r="D34" s="139" t="s">
        <v>298</v>
      </c>
      <c r="E34" s="73">
        <v>0</v>
      </c>
      <c r="F34" s="213" t="s">
        <v>291</v>
      </c>
      <c r="G34" s="81">
        <v>1</v>
      </c>
      <c r="H34" s="81">
        <f t="shared" si="2"/>
        <v>40</v>
      </c>
      <c r="I34" s="82" t="s">
        <v>299</v>
      </c>
      <c r="J34" s="74"/>
      <c r="K34" s="74"/>
    </row>
    <row r="35" spans="1:11">
      <c r="A35" s="77" t="s">
        <v>114</v>
      </c>
      <c r="B35" s="79" t="s">
        <v>337</v>
      </c>
      <c r="C35" s="207">
        <v>1</v>
      </c>
      <c r="D35" s="138" t="s">
        <v>290</v>
      </c>
      <c r="E35" s="78">
        <v>0</v>
      </c>
      <c r="F35" s="210" t="s">
        <v>291</v>
      </c>
      <c r="G35" s="76">
        <v>2</v>
      </c>
      <c r="H35" s="76">
        <v>2</v>
      </c>
      <c r="I35" s="75" t="s">
        <v>338</v>
      </c>
      <c r="J35" s="76"/>
      <c r="K35" s="76"/>
    </row>
    <row r="36" spans="1:11">
      <c r="A36" s="188" t="s">
        <v>114</v>
      </c>
      <c r="B36" s="189" t="s">
        <v>337</v>
      </c>
      <c r="C36" s="194">
        <v>2</v>
      </c>
      <c r="D36" s="184" t="s">
        <v>302</v>
      </c>
      <c r="E36" s="190">
        <v>0</v>
      </c>
      <c r="F36" s="214" t="s">
        <v>291</v>
      </c>
      <c r="G36" s="191">
        <v>3</v>
      </c>
      <c r="H36" s="191">
        <f t="shared" ref="H36:H44" si="3">H35+G36</f>
        <v>5</v>
      </c>
      <c r="I36" s="187" t="s">
        <v>303</v>
      </c>
      <c r="J36" s="76"/>
      <c r="K36" s="76"/>
    </row>
    <row r="37" spans="1:11">
      <c r="A37" s="77" t="s">
        <v>114</v>
      </c>
      <c r="B37" s="79" t="s">
        <v>337</v>
      </c>
      <c r="C37" s="207">
        <v>3</v>
      </c>
      <c r="D37" s="138" t="s">
        <v>304</v>
      </c>
      <c r="E37" s="78">
        <v>0</v>
      </c>
      <c r="F37" s="211" t="s">
        <v>291</v>
      </c>
      <c r="G37" s="76">
        <v>12</v>
      </c>
      <c r="H37" s="76">
        <f t="shared" si="3"/>
        <v>17</v>
      </c>
      <c r="I37" s="75" t="s">
        <v>305</v>
      </c>
      <c r="J37" s="76"/>
      <c r="K37" s="76"/>
    </row>
    <row r="38" spans="1:11">
      <c r="A38" s="77" t="s">
        <v>114</v>
      </c>
      <c r="B38" s="79" t="s">
        <v>337</v>
      </c>
      <c r="C38" s="153">
        <v>4</v>
      </c>
      <c r="D38" s="138" t="s">
        <v>311</v>
      </c>
      <c r="E38" s="78">
        <v>4</v>
      </c>
      <c r="F38" s="211" t="s">
        <v>312</v>
      </c>
      <c r="G38" s="76">
        <v>5</v>
      </c>
      <c r="H38" s="111">
        <f t="shared" si="3"/>
        <v>22</v>
      </c>
      <c r="I38" s="75" t="s">
        <v>313</v>
      </c>
      <c r="J38" s="76"/>
      <c r="K38" s="76"/>
    </row>
    <row r="39" spans="1:11">
      <c r="A39" s="77" t="s">
        <v>114</v>
      </c>
      <c r="B39" s="79" t="s">
        <v>337</v>
      </c>
      <c r="C39" s="207">
        <v>5</v>
      </c>
      <c r="D39" s="138" t="s">
        <v>314</v>
      </c>
      <c r="E39" s="78">
        <v>4</v>
      </c>
      <c r="F39" s="211" t="s">
        <v>312</v>
      </c>
      <c r="G39" s="76">
        <v>5</v>
      </c>
      <c r="H39" s="111">
        <f t="shared" si="3"/>
        <v>27</v>
      </c>
      <c r="I39" s="75" t="s">
        <v>313</v>
      </c>
      <c r="J39" s="76"/>
      <c r="K39" s="76"/>
    </row>
    <row r="40" spans="1:11">
      <c r="A40" s="77" t="s">
        <v>114</v>
      </c>
      <c r="B40" s="79" t="s">
        <v>337</v>
      </c>
      <c r="C40" s="153">
        <v>6</v>
      </c>
      <c r="D40" s="138" t="s">
        <v>315</v>
      </c>
      <c r="E40" s="78">
        <v>0</v>
      </c>
      <c r="F40" s="211" t="s">
        <v>307</v>
      </c>
      <c r="G40" s="76">
        <v>15</v>
      </c>
      <c r="H40" s="111">
        <f t="shared" si="3"/>
        <v>42</v>
      </c>
      <c r="I40" s="75" t="s">
        <v>316</v>
      </c>
      <c r="J40" s="76"/>
      <c r="K40" s="76"/>
    </row>
    <row r="41" spans="1:11">
      <c r="A41" s="77" t="s">
        <v>114</v>
      </c>
      <c r="B41" s="79" t="s">
        <v>337</v>
      </c>
      <c r="C41" s="207">
        <v>7</v>
      </c>
      <c r="D41" s="138" t="s">
        <v>317</v>
      </c>
      <c r="E41" s="78">
        <v>0</v>
      </c>
      <c r="F41" s="211" t="s">
        <v>307</v>
      </c>
      <c r="G41" s="76">
        <v>15</v>
      </c>
      <c r="H41" s="111">
        <f t="shared" si="3"/>
        <v>57</v>
      </c>
      <c r="I41" s="75" t="s">
        <v>316</v>
      </c>
      <c r="J41" s="76"/>
      <c r="K41" s="76"/>
    </row>
    <row r="42" spans="1:11">
      <c r="A42" s="77" t="s">
        <v>114</v>
      </c>
      <c r="B42" s="79" t="s">
        <v>337</v>
      </c>
      <c r="C42" s="153">
        <v>8</v>
      </c>
      <c r="D42" s="138" t="s">
        <v>318</v>
      </c>
      <c r="E42" s="78">
        <v>0</v>
      </c>
      <c r="F42" s="211" t="s">
        <v>291</v>
      </c>
      <c r="G42" s="76">
        <v>1</v>
      </c>
      <c r="H42" s="111">
        <f t="shared" si="3"/>
        <v>58</v>
      </c>
      <c r="I42" s="75" t="s">
        <v>339</v>
      </c>
      <c r="J42" s="76"/>
      <c r="K42" s="76"/>
    </row>
    <row r="43" spans="1:11">
      <c r="A43" s="77" t="s">
        <v>114</v>
      </c>
      <c r="B43" s="79" t="s">
        <v>337</v>
      </c>
      <c r="C43" s="207">
        <v>9</v>
      </c>
      <c r="D43" s="138" t="s">
        <v>320</v>
      </c>
      <c r="E43" s="78">
        <v>0</v>
      </c>
      <c r="F43" s="211" t="s">
        <v>291</v>
      </c>
      <c r="G43" s="76">
        <v>1</v>
      </c>
      <c r="H43" s="111">
        <f t="shared" si="3"/>
        <v>59</v>
      </c>
      <c r="I43" s="75" t="s">
        <v>321</v>
      </c>
      <c r="J43" s="76"/>
      <c r="K43" s="76"/>
    </row>
    <row r="44" spans="1:11">
      <c r="A44" s="77" t="s">
        <v>114</v>
      </c>
      <c r="B44" s="83" t="s">
        <v>337</v>
      </c>
      <c r="C44" s="149">
        <v>10</v>
      </c>
      <c r="D44" s="139" t="s">
        <v>298</v>
      </c>
      <c r="E44" s="73">
        <v>0</v>
      </c>
      <c r="F44" s="213" t="s">
        <v>291</v>
      </c>
      <c r="G44" s="74">
        <v>1</v>
      </c>
      <c r="H44" s="112">
        <f t="shared" si="3"/>
        <v>60</v>
      </c>
      <c r="I44" s="82" t="s">
        <v>299</v>
      </c>
      <c r="J44" s="74"/>
      <c r="K44" s="74"/>
    </row>
    <row r="45" spans="1:11">
      <c r="A45" s="77" t="s">
        <v>125</v>
      </c>
      <c r="B45" s="79" t="s">
        <v>340</v>
      </c>
      <c r="C45" s="152">
        <v>1</v>
      </c>
      <c r="D45" s="138" t="s">
        <v>290</v>
      </c>
      <c r="E45" s="78">
        <v>0</v>
      </c>
      <c r="F45" s="210" t="s">
        <v>291</v>
      </c>
      <c r="G45" s="76">
        <v>2</v>
      </c>
      <c r="H45" s="76">
        <v>2</v>
      </c>
      <c r="I45" s="75" t="s">
        <v>341</v>
      </c>
      <c r="J45" s="76"/>
      <c r="K45" s="76"/>
    </row>
    <row r="46" spans="1:11">
      <c r="A46" s="188" t="s">
        <v>125</v>
      </c>
      <c r="B46" s="189" t="s">
        <v>340</v>
      </c>
      <c r="C46" s="194">
        <v>2</v>
      </c>
      <c r="D46" s="184" t="s">
        <v>302</v>
      </c>
      <c r="E46" s="190">
        <v>0</v>
      </c>
      <c r="F46" s="214" t="s">
        <v>291</v>
      </c>
      <c r="G46" s="191">
        <v>3</v>
      </c>
      <c r="H46" s="191">
        <f t="shared" ref="H46:H53" si="4">H45+G46</f>
        <v>5</v>
      </c>
      <c r="I46" s="187" t="s">
        <v>303</v>
      </c>
      <c r="J46" s="76"/>
      <c r="K46" s="76"/>
    </row>
    <row r="47" spans="1:11">
      <c r="A47" s="77" t="s">
        <v>125</v>
      </c>
      <c r="B47" s="79" t="s">
        <v>340</v>
      </c>
      <c r="C47" s="207">
        <v>3</v>
      </c>
      <c r="D47" s="138" t="s">
        <v>304</v>
      </c>
      <c r="E47" s="78">
        <v>0</v>
      </c>
      <c r="F47" s="211" t="s">
        <v>291</v>
      </c>
      <c r="G47" s="76">
        <v>12</v>
      </c>
      <c r="H47" s="76">
        <f t="shared" si="4"/>
        <v>17</v>
      </c>
      <c r="I47" s="75" t="s">
        <v>305</v>
      </c>
      <c r="J47" s="76"/>
      <c r="K47" s="76"/>
    </row>
    <row r="48" spans="1:11">
      <c r="A48" s="77" t="s">
        <v>125</v>
      </c>
      <c r="B48" s="79" t="s">
        <v>340</v>
      </c>
      <c r="C48" s="153">
        <v>4</v>
      </c>
      <c r="D48" s="138" t="s">
        <v>342</v>
      </c>
      <c r="E48" s="78">
        <v>0</v>
      </c>
      <c r="F48" s="211" t="s">
        <v>291</v>
      </c>
      <c r="G48" s="76">
        <v>1</v>
      </c>
      <c r="H48" s="76">
        <f t="shared" si="4"/>
        <v>18</v>
      </c>
      <c r="I48" s="75" t="s">
        <v>343</v>
      </c>
      <c r="J48" s="76"/>
      <c r="K48" s="76"/>
    </row>
    <row r="49" spans="1:11">
      <c r="A49" s="77" t="s">
        <v>125</v>
      </c>
      <c r="B49" s="79" t="s">
        <v>340</v>
      </c>
      <c r="C49" s="207">
        <v>5</v>
      </c>
      <c r="D49" s="138" t="s">
        <v>344</v>
      </c>
      <c r="E49" s="78">
        <v>0</v>
      </c>
      <c r="F49" s="211" t="s">
        <v>307</v>
      </c>
      <c r="G49" s="76">
        <v>9</v>
      </c>
      <c r="H49" s="76">
        <f t="shared" si="4"/>
        <v>27</v>
      </c>
      <c r="I49" s="75" t="s">
        <v>316</v>
      </c>
      <c r="J49" s="76"/>
      <c r="K49" s="76"/>
    </row>
    <row r="50" spans="1:11">
      <c r="A50" s="77" t="s">
        <v>125</v>
      </c>
      <c r="B50" s="79" t="s">
        <v>340</v>
      </c>
      <c r="C50" s="207">
        <v>6</v>
      </c>
      <c r="D50" s="138" t="s">
        <v>345</v>
      </c>
      <c r="E50" s="78">
        <v>0</v>
      </c>
      <c r="F50" s="211" t="s">
        <v>307</v>
      </c>
      <c r="G50" s="76">
        <v>7</v>
      </c>
      <c r="H50" s="76">
        <f t="shared" si="4"/>
        <v>34</v>
      </c>
      <c r="I50" s="75" t="s">
        <v>346</v>
      </c>
      <c r="J50" s="76"/>
      <c r="K50" s="76"/>
    </row>
    <row r="51" spans="1:11">
      <c r="A51" s="77" t="s">
        <v>125</v>
      </c>
      <c r="B51" s="79" t="s">
        <v>340</v>
      </c>
      <c r="C51" s="207">
        <v>7</v>
      </c>
      <c r="D51" s="138" t="s">
        <v>347</v>
      </c>
      <c r="E51" s="78">
        <v>0</v>
      </c>
      <c r="F51" s="211" t="s">
        <v>291</v>
      </c>
      <c r="G51" s="76">
        <v>8</v>
      </c>
      <c r="H51" s="76">
        <f t="shared" si="4"/>
        <v>42</v>
      </c>
      <c r="I51" s="75" t="s">
        <v>348</v>
      </c>
      <c r="J51" s="76"/>
      <c r="K51" s="76"/>
    </row>
    <row r="52" spans="1:11">
      <c r="A52" s="77" t="s">
        <v>125</v>
      </c>
      <c r="B52" s="79" t="s">
        <v>340</v>
      </c>
      <c r="C52" s="153">
        <v>8</v>
      </c>
      <c r="D52" s="138" t="s">
        <v>320</v>
      </c>
      <c r="E52" s="78">
        <v>0</v>
      </c>
      <c r="F52" s="211" t="s">
        <v>291</v>
      </c>
      <c r="G52" s="76">
        <v>7</v>
      </c>
      <c r="H52" s="76">
        <f t="shared" si="4"/>
        <v>49</v>
      </c>
      <c r="I52" s="75" t="s">
        <v>321</v>
      </c>
      <c r="J52" s="76"/>
      <c r="K52" s="76"/>
    </row>
    <row r="53" spans="1:11">
      <c r="A53" s="77" t="s">
        <v>125</v>
      </c>
      <c r="B53" s="83" t="s">
        <v>340</v>
      </c>
      <c r="C53" s="145">
        <v>9</v>
      </c>
      <c r="D53" s="139" t="s">
        <v>298</v>
      </c>
      <c r="E53" s="73">
        <v>0</v>
      </c>
      <c r="F53" s="213" t="s">
        <v>291</v>
      </c>
      <c r="G53" s="81">
        <v>1</v>
      </c>
      <c r="H53" s="81">
        <f t="shared" si="4"/>
        <v>50</v>
      </c>
      <c r="I53" s="82" t="s">
        <v>299</v>
      </c>
      <c r="J53" s="74"/>
      <c r="K53" s="74"/>
    </row>
    <row r="54" spans="1:11">
      <c r="A54" s="77" t="s">
        <v>136</v>
      </c>
      <c r="B54" s="79" t="s">
        <v>349</v>
      </c>
      <c r="C54" s="153">
        <v>1</v>
      </c>
      <c r="D54" s="138" t="s">
        <v>290</v>
      </c>
      <c r="E54" s="78">
        <v>0</v>
      </c>
      <c r="F54" s="210" t="s">
        <v>291</v>
      </c>
      <c r="G54" s="76">
        <v>2</v>
      </c>
      <c r="H54" s="76">
        <v>2</v>
      </c>
      <c r="I54" s="75" t="s">
        <v>350</v>
      </c>
      <c r="J54" s="76"/>
      <c r="K54" s="76"/>
    </row>
    <row r="55" spans="1:11">
      <c r="A55" s="188" t="s">
        <v>136</v>
      </c>
      <c r="B55" s="189" t="s">
        <v>349</v>
      </c>
      <c r="C55" s="194">
        <v>2</v>
      </c>
      <c r="D55" s="184" t="s">
        <v>302</v>
      </c>
      <c r="E55" s="190">
        <v>0</v>
      </c>
      <c r="F55" s="214" t="s">
        <v>291</v>
      </c>
      <c r="G55" s="191">
        <v>3</v>
      </c>
      <c r="H55" s="191">
        <f t="shared" ref="H55:H67" si="5">H54+G55</f>
        <v>5</v>
      </c>
      <c r="I55" s="187" t="s">
        <v>351</v>
      </c>
      <c r="J55" s="76"/>
      <c r="K55" s="76"/>
    </row>
    <row r="56" spans="1:11">
      <c r="A56" s="77" t="s">
        <v>136</v>
      </c>
      <c r="B56" s="79" t="s">
        <v>349</v>
      </c>
      <c r="C56" s="207">
        <v>3</v>
      </c>
      <c r="D56" s="138" t="s">
        <v>306</v>
      </c>
      <c r="E56" s="78">
        <v>0</v>
      </c>
      <c r="F56" s="211" t="s">
        <v>291</v>
      </c>
      <c r="G56" s="76">
        <v>8</v>
      </c>
      <c r="H56" s="76">
        <f t="shared" si="5"/>
        <v>13</v>
      </c>
      <c r="I56" s="75" t="s">
        <v>308</v>
      </c>
      <c r="J56" s="76"/>
      <c r="K56" s="76"/>
    </row>
    <row r="57" spans="1:11" ht="67.5">
      <c r="A57" s="77" t="s">
        <v>352</v>
      </c>
      <c r="B57" s="79" t="s">
        <v>353</v>
      </c>
      <c r="C57" s="153">
        <v>4</v>
      </c>
      <c r="D57" s="138" t="s">
        <v>354</v>
      </c>
      <c r="E57" s="4">
        <v>0</v>
      </c>
      <c r="F57" s="211" t="s">
        <v>291</v>
      </c>
      <c r="G57" s="76">
        <v>1</v>
      </c>
      <c r="H57" s="76">
        <f t="shared" si="5"/>
        <v>14</v>
      </c>
      <c r="I57" s="192" t="s">
        <v>355</v>
      </c>
      <c r="J57" s="85"/>
      <c r="K57" s="76"/>
    </row>
    <row r="58" spans="1:11">
      <c r="A58" s="77" t="s">
        <v>136</v>
      </c>
      <c r="B58" s="79" t="s">
        <v>349</v>
      </c>
      <c r="C58" s="207">
        <v>5</v>
      </c>
      <c r="D58" s="138" t="s">
        <v>356</v>
      </c>
      <c r="E58" s="4">
        <v>0</v>
      </c>
      <c r="F58" s="211" t="s">
        <v>307</v>
      </c>
      <c r="G58" s="76">
        <v>12</v>
      </c>
      <c r="H58" s="76">
        <f t="shared" si="5"/>
        <v>26</v>
      </c>
      <c r="I58" s="75" t="s">
        <v>316</v>
      </c>
      <c r="J58" s="85"/>
      <c r="K58" s="76"/>
    </row>
    <row r="59" spans="1:11">
      <c r="A59" s="77" t="s">
        <v>136</v>
      </c>
      <c r="B59" s="79" t="s">
        <v>349</v>
      </c>
      <c r="C59" s="153">
        <v>6</v>
      </c>
      <c r="D59" s="138" t="s">
        <v>357</v>
      </c>
      <c r="E59" s="4">
        <v>0</v>
      </c>
      <c r="F59" s="211" t="s">
        <v>307</v>
      </c>
      <c r="G59" s="76">
        <v>15</v>
      </c>
      <c r="H59" s="76">
        <f t="shared" si="5"/>
        <v>41</v>
      </c>
      <c r="I59" s="75" t="s">
        <v>346</v>
      </c>
      <c r="J59" s="85"/>
      <c r="K59" s="76"/>
    </row>
    <row r="60" spans="1:11">
      <c r="A60" s="77" t="s">
        <v>136</v>
      </c>
      <c r="B60" s="79" t="s">
        <v>349</v>
      </c>
      <c r="C60" s="207">
        <v>7</v>
      </c>
      <c r="D60" s="138" t="s">
        <v>358</v>
      </c>
      <c r="E60" s="4">
        <v>0</v>
      </c>
      <c r="F60" s="211" t="s">
        <v>307</v>
      </c>
      <c r="G60" s="76">
        <v>12</v>
      </c>
      <c r="H60" s="76">
        <f t="shared" si="5"/>
        <v>53</v>
      </c>
      <c r="I60" s="75" t="s">
        <v>316</v>
      </c>
      <c r="J60" s="85"/>
      <c r="K60" s="76"/>
    </row>
    <row r="61" spans="1:11">
      <c r="A61" s="77" t="s">
        <v>136</v>
      </c>
      <c r="B61" s="79" t="s">
        <v>349</v>
      </c>
      <c r="C61" s="153">
        <v>8</v>
      </c>
      <c r="D61" s="138" t="s">
        <v>359</v>
      </c>
      <c r="E61" s="4">
        <v>0</v>
      </c>
      <c r="F61" s="211" t="s">
        <v>307</v>
      </c>
      <c r="G61" s="76">
        <v>15</v>
      </c>
      <c r="H61" s="76">
        <f t="shared" si="5"/>
        <v>68</v>
      </c>
      <c r="I61" s="75" t="s">
        <v>346</v>
      </c>
      <c r="J61" s="85"/>
      <c r="K61" s="76"/>
    </row>
    <row r="62" spans="1:11">
      <c r="A62" s="77" t="s">
        <v>136</v>
      </c>
      <c r="B62" s="79" t="s">
        <v>349</v>
      </c>
      <c r="C62" s="207">
        <v>9</v>
      </c>
      <c r="D62" s="138" t="s">
        <v>360</v>
      </c>
      <c r="E62" s="4">
        <v>0</v>
      </c>
      <c r="F62" s="211" t="s">
        <v>291</v>
      </c>
      <c r="G62" s="76">
        <v>1</v>
      </c>
      <c r="H62" s="76">
        <f t="shared" si="5"/>
        <v>69</v>
      </c>
      <c r="I62" s="75" t="s">
        <v>361</v>
      </c>
      <c r="J62" s="85"/>
      <c r="K62" s="76"/>
    </row>
    <row r="63" spans="1:11">
      <c r="A63" s="77" t="s">
        <v>136</v>
      </c>
      <c r="B63" s="79" t="s">
        <v>349</v>
      </c>
      <c r="C63" s="153">
        <v>10</v>
      </c>
      <c r="D63" s="138" t="s">
        <v>362</v>
      </c>
      <c r="E63" s="4">
        <v>0</v>
      </c>
      <c r="F63" s="211" t="s">
        <v>307</v>
      </c>
      <c r="G63" s="76">
        <v>12</v>
      </c>
      <c r="H63" s="76">
        <f t="shared" si="5"/>
        <v>81</v>
      </c>
      <c r="I63" s="75" t="s">
        <v>316</v>
      </c>
      <c r="J63" s="85"/>
      <c r="K63" s="76"/>
    </row>
    <row r="64" spans="1:11">
      <c r="A64" s="77" t="s">
        <v>136</v>
      </c>
      <c r="B64" s="79" t="s">
        <v>349</v>
      </c>
      <c r="C64" s="207">
        <v>11</v>
      </c>
      <c r="D64" s="138" t="s">
        <v>363</v>
      </c>
      <c r="E64" s="4">
        <v>0</v>
      </c>
      <c r="F64" s="211" t="s">
        <v>291</v>
      </c>
      <c r="G64" s="76">
        <v>1</v>
      </c>
      <c r="H64" s="76">
        <f t="shared" si="5"/>
        <v>82</v>
      </c>
      <c r="I64" s="75" t="s">
        <v>361</v>
      </c>
      <c r="J64" s="85"/>
      <c r="K64" s="76"/>
    </row>
    <row r="65" spans="1:11">
      <c r="A65" s="77" t="s">
        <v>136</v>
      </c>
      <c r="B65" s="79" t="s">
        <v>349</v>
      </c>
      <c r="C65" s="153">
        <v>12</v>
      </c>
      <c r="D65" s="138" t="s">
        <v>364</v>
      </c>
      <c r="E65" s="4">
        <v>0</v>
      </c>
      <c r="F65" s="211" t="s">
        <v>307</v>
      </c>
      <c r="G65" s="76">
        <v>15</v>
      </c>
      <c r="H65" s="76">
        <f t="shared" si="5"/>
        <v>97</v>
      </c>
      <c r="I65" s="75" t="s">
        <v>346</v>
      </c>
      <c r="J65" s="85"/>
      <c r="K65" s="76"/>
    </row>
    <row r="66" spans="1:11">
      <c r="A66" s="77" t="s">
        <v>136</v>
      </c>
      <c r="B66" s="79" t="s">
        <v>349</v>
      </c>
      <c r="C66" s="207">
        <v>13</v>
      </c>
      <c r="D66" s="138" t="s">
        <v>320</v>
      </c>
      <c r="E66" s="4">
        <v>0</v>
      </c>
      <c r="F66" s="211" t="s">
        <v>291</v>
      </c>
      <c r="G66" s="76">
        <v>2</v>
      </c>
      <c r="H66" s="76">
        <f t="shared" si="5"/>
        <v>99</v>
      </c>
      <c r="I66" s="75" t="s">
        <v>321</v>
      </c>
      <c r="J66" s="85"/>
      <c r="K66" s="76"/>
    </row>
    <row r="67" spans="1:11">
      <c r="A67" s="77" t="s">
        <v>136</v>
      </c>
      <c r="B67" s="83" t="s">
        <v>349</v>
      </c>
      <c r="C67" s="145">
        <v>14</v>
      </c>
      <c r="D67" s="140" t="s">
        <v>298</v>
      </c>
      <c r="E67" s="87">
        <v>0</v>
      </c>
      <c r="F67" s="213" t="s">
        <v>291</v>
      </c>
      <c r="G67" s="74">
        <v>1</v>
      </c>
      <c r="H67" s="74">
        <f t="shared" si="5"/>
        <v>100</v>
      </c>
      <c r="I67" s="36" t="s">
        <v>299</v>
      </c>
      <c r="J67" s="74"/>
      <c r="K67" s="74"/>
    </row>
    <row r="68" spans="1:11">
      <c r="A68" s="77" t="s">
        <v>365</v>
      </c>
      <c r="B68" s="79" t="s">
        <v>158</v>
      </c>
      <c r="C68" s="143">
        <v>1</v>
      </c>
      <c r="D68" s="138" t="s">
        <v>290</v>
      </c>
      <c r="E68" s="78">
        <v>0</v>
      </c>
      <c r="F68" s="210" t="s">
        <v>291</v>
      </c>
      <c r="G68" s="76">
        <v>2</v>
      </c>
      <c r="H68" s="76">
        <v>2</v>
      </c>
      <c r="I68" s="75" t="s">
        <v>366</v>
      </c>
      <c r="J68" s="76"/>
      <c r="K68" s="76"/>
    </row>
    <row r="69" spans="1:11">
      <c r="A69" s="188" t="s">
        <v>160</v>
      </c>
      <c r="B69" s="189" t="s">
        <v>367</v>
      </c>
      <c r="C69" s="197">
        <v>2</v>
      </c>
      <c r="D69" s="184" t="s">
        <v>302</v>
      </c>
      <c r="E69" s="190">
        <v>0</v>
      </c>
      <c r="F69" s="214" t="s">
        <v>291</v>
      </c>
      <c r="G69" s="191">
        <v>3</v>
      </c>
      <c r="H69" s="191">
        <f t="shared" ref="H69:H77" si="6">H68+G69</f>
        <v>5</v>
      </c>
      <c r="I69" s="187" t="s">
        <v>368</v>
      </c>
      <c r="J69" s="76"/>
      <c r="K69" s="76"/>
    </row>
    <row r="70" spans="1:11">
      <c r="A70" s="77" t="s">
        <v>160</v>
      </c>
      <c r="B70" s="84" t="s">
        <v>158</v>
      </c>
      <c r="C70" s="207">
        <v>3</v>
      </c>
      <c r="D70" s="138" t="s">
        <v>304</v>
      </c>
      <c r="E70" s="78">
        <v>0</v>
      </c>
      <c r="F70" s="211" t="s">
        <v>291</v>
      </c>
      <c r="G70" s="76">
        <v>12</v>
      </c>
      <c r="H70" s="76">
        <f t="shared" si="6"/>
        <v>17</v>
      </c>
      <c r="I70" s="75" t="s">
        <v>369</v>
      </c>
      <c r="J70" s="85"/>
      <c r="K70" s="76"/>
    </row>
    <row r="71" spans="1:11">
      <c r="A71" s="77" t="s">
        <v>160</v>
      </c>
      <c r="B71" s="84" t="s">
        <v>158</v>
      </c>
      <c r="C71" s="153">
        <v>4</v>
      </c>
      <c r="D71" s="138" t="s">
        <v>306</v>
      </c>
      <c r="E71" s="4">
        <v>0</v>
      </c>
      <c r="F71" s="211" t="s">
        <v>307</v>
      </c>
      <c r="G71" s="76">
        <v>8</v>
      </c>
      <c r="H71" s="76">
        <f t="shared" si="6"/>
        <v>25</v>
      </c>
      <c r="I71" s="75" t="s">
        <v>370</v>
      </c>
      <c r="J71" s="85"/>
      <c r="K71" s="76"/>
    </row>
    <row r="72" spans="1:11">
      <c r="A72" s="77" t="s">
        <v>160</v>
      </c>
      <c r="B72" s="84" t="s">
        <v>158</v>
      </c>
      <c r="C72" s="153">
        <v>5</v>
      </c>
      <c r="D72" s="138" t="s">
        <v>371</v>
      </c>
      <c r="E72" s="4">
        <v>0</v>
      </c>
      <c r="F72" s="211" t="s">
        <v>291</v>
      </c>
      <c r="G72" s="76">
        <v>3</v>
      </c>
      <c r="H72" s="76">
        <f t="shared" si="6"/>
        <v>28</v>
      </c>
      <c r="I72" s="75" t="s">
        <v>372</v>
      </c>
      <c r="J72" s="85"/>
      <c r="K72" s="76"/>
    </row>
    <row r="73" spans="1:11">
      <c r="A73" s="77" t="s">
        <v>160</v>
      </c>
      <c r="B73" s="84" t="s">
        <v>158</v>
      </c>
      <c r="C73" s="153">
        <v>6</v>
      </c>
      <c r="D73" s="138" t="s">
        <v>373</v>
      </c>
      <c r="E73" s="4">
        <v>0</v>
      </c>
      <c r="F73" s="211" t="s">
        <v>291</v>
      </c>
      <c r="G73" s="76">
        <v>6</v>
      </c>
      <c r="H73" s="76">
        <f t="shared" si="6"/>
        <v>34</v>
      </c>
      <c r="I73" s="75"/>
      <c r="J73" s="85"/>
      <c r="K73" s="76"/>
    </row>
    <row r="74" spans="1:11">
      <c r="A74" s="77" t="s">
        <v>160</v>
      </c>
      <c r="B74" s="84" t="s">
        <v>158</v>
      </c>
      <c r="C74" s="153">
        <v>7</v>
      </c>
      <c r="D74" s="138" t="s">
        <v>374</v>
      </c>
      <c r="E74" s="4">
        <v>0</v>
      </c>
      <c r="F74" s="211" t="s">
        <v>291</v>
      </c>
      <c r="G74" s="76">
        <v>50</v>
      </c>
      <c r="H74" s="76">
        <f t="shared" si="6"/>
        <v>84</v>
      </c>
      <c r="I74" s="75"/>
      <c r="J74" s="85"/>
      <c r="K74" s="76"/>
    </row>
    <row r="75" spans="1:11">
      <c r="A75" s="77" t="s">
        <v>160</v>
      </c>
      <c r="B75" s="84" t="s">
        <v>158</v>
      </c>
      <c r="C75" s="153">
        <v>8</v>
      </c>
      <c r="D75" s="138" t="s">
        <v>375</v>
      </c>
      <c r="E75" s="4">
        <v>0</v>
      </c>
      <c r="F75" s="211" t="s">
        <v>291</v>
      </c>
      <c r="G75" s="76">
        <v>40</v>
      </c>
      <c r="H75" s="76">
        <f t="shared" si="6"/>
        <v>124</v>
      </c>
      <c r="I75" s="75"/>
      <c r="J75" s="85"/>
      <c r="K75" s="76"/>
    </row>
    <row r="76" spans="1:11">
      <c r="A76" s="77" t="s">
        <v>160</v>
      </c>
      <c r="B76" s="84" t="s">
        <v>158</v>
      </c>
      <c r="C76" s="153">
        <v>9</v>
      </c>
      <c r="D76" s="138" t="s">
        <v>320</v>
      </c>
      <c r="E76" s="4">
        <v>0</v>
      </c>
      <c r="F76" s="211" t="s">
        <v>291</v>
      </c>
      <c r="G76" s="76">
        <v>5</v>
      </c>
      <c r="H76" s="76">
        <f t="shared" si="6"/>
        <v>129</v>
      </c>
      <c r="I76" s="86"/>
      <c r="J76" s="85"/>
      <c r="K76" s="76"/>
    </row>
    <row r="77" spans="1:11">
      <c r="A77" s="77" t="s">
        <v>160</v>
      </c>
      <c r="B77" s="80" t="s">
        <v>158</v>
      </c>
      <c r="C77" s="149">
        <v>10</v>
      </c>
      <c r="D77" s="139" t="s">
        <v>298</v>
      </c>
      <c r="E77" s="73">
        <v>0</v>
      </c>
      <c r="F77" s="213" t="s">
        <v>291</v>
      </c>
      <c r="G77" s="74">
        <v>1</v>
      </c>
      <c r="H77" s="74">
        <f t="shared" si="6"/>
        <v>130</v>
      </c>
      <c r="I77" s="36" t="s">
        <v>299</v>
      </c>
      <c r="J77" s="74"/>
      <c r="K77" s="74"/>
    </row>
    <row r="78" spans="1:11">
      <c r="A78" s="77" t="s">
        <v>376</v>
      </c>
      <c r="B78" s="79" t="s">
        <v>161</v>
      </c>
      <c r="C78" s="152">
        <v>1</v>
      </c>
      <c r="D78" s="138" t="s">
        <v>290</v>
      </c>
      <c r="E78" s="76">
        <v>0</v>
      </c>
      <c r="F78" s="210" t="s">
        <v>291</v>
      </c>
      <c r="G78" s="76">
        <v>2</v>
      </c>
      <c r="H78" s="76">
        <v>2</v>
      </c>
      <c r="I78" s="75" t="s">
        <v>377</v>
      </c>
      <c r="J78" s="76"/>
      <c r="K78" s="76"/>
    </row>
    <row r="79" spans="1:11">
      <c r="A79" s="188" t="s">
        <v>163</v>
      </c>
      <c r="B79" s="189" t="s">
        <v>161</v>
      </c>
      <c r="C79" s="194">
        <v>2</v>
      </c>
      <c r="D79" s="184" t="s">
        <v>302</v>
      </c>
      <c r="E79" s="191">
        <v>0</v>
      </c>
      <c r="F79" s="214" t="s">
        <v>291</v>
      </c>
      <c r="G79" s="191">
        <v>3</v>
      </c>
      <c r="H79" s="191">
        <f t="shared" ref="H79:H98" si="7">H78+G79</f>
        <v>5</v>
      </c>
      <c r="I79" s="187" t="s">
        <v>368</v>
      </c>
      <c r="J79" s="76"/>
      <c r="K79" s="76"/>
    </row>
    <row r="80" spans="1:11">
      <c r="A80" s="77" t="s">
        <v>163</v>
      </c>
      <c r="B80" s="79" t="s">
        <v>161</v>
      </c>
      <c r="C80" s="153">
        <v>3</v>
      </c>
      <c r="D80" s="138" t="s">
        <v>304</v>
      </c>
      <c r="E80" s="4">
        <v>0</v>
      </c>
      <c r="F80" s="211" t="s">
        <v>291</v>
      </c>
      <c r="G80" s="76">
        <v>12</v>
      </c>
      <c r="H80" s="76">
        <f t="shared" si="7"/>
        <v>17</v>
      </c>
      <c r="I80" s="75" t="s">
        <v>369</v>
      </c>
      <c r="J80" s="85"/>
      <c r="K80" s="76"/>
    </row>
    <row r="81" spans="1:11">
      <c r="A81" s="77" t="s">
        <v>163</v>
      </c>
      <c r="B81" s="79" t="s">
        <v>161</v>
      </c>
      <c r="C81" s="153">
        <v>4</v>
      </c>
      <c r="D81" s="138" t="s">
        <v>306</v>
      </c>
      <c r="E81" s="4">
        <v>0</v>
      </c>
      <c r="F81" s="85" t="s">
        <v>307</v>
      </c>
      <c r="G81" s="76">
        <v>8</v>
      </c>
      <c r="H81" s="76">
        <f t="shared" si="7"/>
        <v>25</v>
      </c>
      <c r="I81" s="75" t="s">
        <v>308</v>
      </c>
      <c r="J81" s="85"/>
      <c r="K81" s="76"/>
    </row>
    <row r="82" spans="1:11">
      <c r="A82" s="77" t="s">
        <v>163</v>
      </c>
      <c r="B82" s="79" t="s">
        <v>161</v>
      </c>
      <c r="C82" s="153">
        <v>5</v>
      </c>
      <c r="D82" s="138" t="s">
        <v>378</v>
      </c>
      <c r="E82" s="4">
        <v>0</v>
      </c>
      <c r="F82" s="85" t="s">
        <v>379</v>
      </c>
      <c r="G82" s="76">
        <v>10</v>
      </c>
      <c r="H82" s="76">
        <f t="shared" si="7"/>
        <v>35</v>
      </c>
      <c r="I82" s="75" t="s">
        <v>380</v>
      </c>
      <c r="J82" s="85"/>
      <c r="K82" s="76"/>
    </row>
    <row r="83" spans="1:11">
      <c r="A83" s="77" t="s">
        <v>163</v>
      </c>
      <c r="B83" s="79" t="s">
        <v>161</v>
      </c>
      <c r="C83" s="153">
        <v>6</v>
      </c>
      <c r="D83" s="138" t="s">
        <v>381</v>
      </c>
      <c r="E83" s="4">
        <v>0</v>
      </c>
      <c r="F83" s="85" t="s">
        <v>379</v>
      </c>
      <c r="G83" s="76">
        <v>15</v>
      </c>
      <c r="H83" s="76">
        <f t="shared" si="7"/>
        <v>50</v>
      </c>
      <c r="I83" s="75" t="s">
        <v>380</v>
      </c>
      <c r="J83" s="85"/>
      <c r="K83" s="76"/>
    </row>
    <row r="84" spans="1:11">
      <c r="A84" s="77" t="s">
        <v>163</v>
      </c>
      <c r="B84" s="79" t="s">
        <v>161</v>
      </c>
      <c r="C84" s="153">
        <v>7</v>
      </c>
      <c r="D84" s="138" t="s">
        <v>382</v>
      </c>
      <c r="E84" s="4">
        <v>0</v>
      </c>
      <c r="F84" s="85" t="s">
        <v>307</v>
      </c>
      <c r="G84" s="76">
        <v>15</v>
      </c>
      <c r="H84" s="76">
        <f t="shared" si="7"/>
        <v>65</v>
      </c>
      <c r="I84" s="75" t="s">
        <v>346</v>
      </c>
      <c r="J84" s="85"/>
      <c r="K84" s="76"/>
    </row>
    <row r="85" spans="1:11">
      <c r="A85" s="77" t="s">
        <v>163</v>
      </c>
      <c r="B85" s="79" t="s">
        <v>161</v>
      </c>
      <c r="C85" s="153">
        <v>8</v>
      </c>
      <c r="D85" s="138" t="s">
        <v>383</v>
      </c>
      <c r="E85" s="4">
        <v>2</v>
      </c>
      <c r="F85" s="211" t="s">
        <v>312</v>
      </c>
      <c r="G85" s="76">
        <v>9</v>
      </c>
      <c r="H85" s="76">
        <f t="shared" si="7"/>
        <v>74</v>
      </c>
      <c r="I85" s="75" t="s">
        <v>384</v>
      </c>
      <c r="J85" s="85"/>
      <c r="K85" s="76"/>
    </row>
    <row r="86" spans="1:11">
      <c r="A86" s="77" t="s">
        <v>163</v>
      </c>
      <c r="B86" s="79" t="s">
        <v>161</v>
      </c>
      <c r="C86" s="153">
        <v>9</v>
      </c>
      <c r="D86" s="138" t="s">
        <v>385</v>
      </c>
      <c r="E86" s="4">
        <v>0</v>
      </c>
      <c r="F86" s="85" t="s">
        <v>379</v>
      </c>
      <c r="G86" s="76">
        <v>15</v>
      </c>
      <c r="H86" s="76">
        <f t="shared" si="7"/>
        <v>89</v>
      </c>
      <c r="I86" s="75" t="s">
        <v>380</v>
      </c>
      <c r="J86" s="85"/>
      <c r="K86" s="76"/>
    </row>
    <row r="87" spans="1:11">
      <c r="A87" s="77" t="s">
        <v>163</v>
      </c>
      <c r="B87" s="79" t="s">
        <v>161</v>
      </c>
      <c r="C87" s="153">
        <v>10</v>
      </c>
      <c r="D87" s="138" t="s">
        <v>386</v>
      </c>
      <c r="E87" s="4">
        <v>0</v>
      </c>
      <c r="F87" s="85" t="s">
        <v>379</v>
      </c>
      <c r="G87" s="76">
        <v>15</v>
      </c>
      <c r="H87" s="76">
        <f t="shared" si="7"/>
        <v>104</v>
      </c>
      <c r="I87" s="75" t="s">
        <v>380</v>
      </c>
      <c r="J87" s="85"/>
      <c r="K87" s="76"/>
    </row>
    <row r="88" spans="1:11">
      <c r="A88" s="77" t="s">
        <v>163</v>
      </c>
      <c r="B88" s="79" t="s">
        <v>161</v>
      </c>
      <c r="C88" s="153">
        <v>11</v>
      </c>
      <c r="D88" s="138" t="s">
        <v>387</v>
      </c>
      <c r="E88" s="4">
        <v>0</v>
      </c>
      <c r="F88" s="211" t="s">
        <v>312</v>
      </c>
      <c r="G88" s="76">
        <v>9</v>
      </c>
      <c r="H88" s="76">
        <f t="shared" si="7"/>
        <v>113</v>
      </c>
      <c r="I88" s="75" t="s">
        <v>388</v>
      </c>
      <c r="J88" s="85"/>
      <c r="K88" s="76"/>
    </row>
    <row r="89" spans="1:11">
      <c r="A89" s="77" t="s">
        <v>163</v>
      </c>
      <c r="B89" s="79" t="s">
        <v>161</v>
      </c>
      <c r="C89" s="153">
        <v>12</v>
      </c>
      <c r="D89" s="138" t="s">
        <v>389</v>
      </c>
      <c r="E89" s="4">
        <v>0</v>
      </c>
      <c r="F89" s="85" t="s">
        <v>307</v>
      </c>
      <c r="G89" s="76">
        <v>8</v>
      </c>
      <c r="H89" s="76">
        <f t="shared" si="7"/>
        <v>121</v>
      </c>
      <c r="I89" s="75" t="s">
        <v>390</v>
      </c>
      <c r="J89" s="85"/>
      <c r="K89" s="76"/>
    </row>
    <row r="90" spans="1:11">
      <c r="A90" s="77" t="s">
        <v>163</v>
      </c>
      <c r="B90" s="79" t="s">
        <v>161</v>
      </c>
      <c r="C90" s="153">
        <v>13</v>
      </c>
      <c r="D90" s="138" t="s">
        <v>391</v>
      </c>
      <c r="E90" s="4">
        <v>2</v>
      </c>
      <c r="F90" s="211" t="s">
        <v>312</v>
      </c>
      <c r="G90" s="76">
        <v>9</v>
      </c>
      <c r="H90" s="76">
        <f t="shared" si="7"/>
        <v>130</v>
      </c>
      <c r="I90" s="75" t="s">
        <v>392</v>
      </c>
      <c r="J90" s="85"/>
      <c r="K90" s="76"/>
    </row>
    <row r="91" spans="1:11">
      <c r="A91" s="77" t="s">
        <v>163</v>
      </c>
      <c r="B91" s="79" t="s">
        <v>161</v>
      </c>
      <c r="C91" s="153">
        <v>14</v>
      </c>
      <c r="D91" s="138" t="s">
        <v>393</v>
      </c>
      <c r="E91" s="4">
        <v>2</v>
      </c>
      <c r="F91" s="211" t="s">
        <v>312</v>
      </c>
      <c r="G91" s="76">
        <v>9</v>
      </c>
      <c r="H91" s="76">
        <f t="shared" si="7"/>
        <v>139</v>
      </c>
      <c r="I91" s="75" t="s">
        <v>392</v>
      </c>
      <c r="J91" s="85"/>
      <c r="K91" s="76"/>
    </row>
    <row r="92" spans="1:11">
      <c r="A92" s="77" t="s">
        <v>163</v>
      </c>
      <c r="B92" s="79" t="s">
        <v>161</v>
      </c>
      <c r="C92" s="153">
        <v>15</v>
      </c>
      <c r="D92" s="138" t="s">
        <v>394</v>
      </c>
      <c r="E92" s="4">
        <v>2</v>
      </c>
      <c r="F92" s="211" t="s">
        <v>312</v>
      </c>
      <c r="G92" s="76">
        <v>12</v>
      </c>
      <c r="H92" s="76">
        <f t="shared" si="7"/>
        <v>151</v>
      </c>
      <c r="I92" s="75" t="s">
        <v>395</v>
      </c>
      <c r="J92" s="85"/>
      <c r="K92" s="76"/>
    </row>
    <row r="93" spans="1:11">
      <c r="A93" s="77" t="s">
        <v>163</v>
      </c>
      <c r="B93" s="79" t="s">
        <v>161</v>
      </c>
      <c r="C93" s="153">
        <v>16</v>
      </c>
      <c r="D93" s="138" t="s">
        <v>396</v>
      </c>
      <c r="E93" s="4">
        <v>2</v>
      </c>
      <c r="F93" s="211" t="s">
        <v>312</v>
      </c>
      <c r="G93" s="76">
        <v>9</v>
      </c>
      <c r="H93" s="76">
        <f t="shared" si="7"/>
        <v>160</v>
      </c>
      <c r="I93" s="75" t="s">
        <v>392</v>
      </c>
      <c r="J93" s="85"/>
      <c r="K93" s="76"/>
    </row>
    <row r="94" spans="1:11">
      <c r="A94" s="77" t="s">
        <v>163</v>
      </c>
      <c r="B94" s="79" t="s">
        <v>397</v>
      </c>
      <c r="C94" s="153">
        <v>17</v>
      </c>
      <c r="D94" s="138" t="s">
        <v>398</v>
      </c>
      <c r="E94" s="4">
        <v>2</v>
      </c>
      <c r="F94" s="211" t="s">
        <v>312</v>
      </c>
      <c r="G94" s="76">
        <v>9</v>
      </c>
      <c r="H94" s="76">
        <f t="shared" si="7"/>
        <v>169</v>
      </c>
      <c r="I94" s="75" t="s">
        <v>399</v>
      </c>
      <c r="J94" s="85"/>
      <c r="K94" s="76"/>
    </row>
    <row r="95" spans="1:11">
      <c r="A95" s="77" t="s">
        <v>163</v>
      </c>
      <c r="B95" s="79" t="s">
        <v>161</v>
      </c>
      <c r="C95" s="153">
        <v>18</v>
      </c>
      <c r="D95" s="138" t="s">
        <v>400</v>
      </c>
      <c r="E95" s="4">
        <v>2</v>
      </c>
      <c r="F95" s="211" t="s">
        <v>312</v>
      </c>
      <c r="G95" s="76">
        <v>9</v>
      </c>
      <c r="H95" s="76">
        <f t="shared" si="7"/>
        <v>178</v>
      </c>
      <c r="I95" s="75" t="s">
        <v>392</v>
      </c>
      <c r="J95" s="85"/>
      <c r="K95" s="76"/>
    </row>
    <row r="96" spans="1:11">
      <c r="A96" s="77" t="s">
        <v>163</v>
      </c>
      <c r="B96" s="79" t="s">
        <v>161</v>
      </c>
      <c r="C96" s="153">
        <v>19</v>
      </c>
      <c r="D96" s="138" t="s">
        <v>401</v>
      </c>
      <c r="E96" s="4">
        <v>2</v>
      </c>
      <c r="F96" s="211" t="s">
        <v>312</v>
      </c>
      <c r="G96" s="76">
        <v>9</v>
      </c>
      <c r="H96" s="76">
        <f t="shared" si="7"/>
        <v>187</v>
      </c>
      <c r="I96" s="75" t="s">
        <v>392</v>
      </c>
      <c r="J96" s="85"/>
      <c r="K96" s="76"/>
    </row>
    <row r="97" spans="1:11">
      <c r="A97" s="77" t="s">
        <v>163</v>
      </c>
      <c r="B97" s="79" t="s">
        <v>161</v>
      </c>
      <c r="C97" s="153">
        <v>20</v>
      </c>
      <c r="D97" s="138" t="s">
        <v>320</v>
      </c>
      <c r="E97" s="4">
        <v>0</v>
      </c>
      <c r="F97" s="85" t="s">
        <v>291</v>
      </c>
      <c r="G97" s="76">
        <v>62</v>
      </c>
      <c r="H97" s="76">
        <f t="shared" si="7"/>
        <v>249</v>
      </c>
      <c r="I97" s="75"/>
      <c r="J97" s="85"/>
      <c r="K97" s="76"/>
    </row>
    <row r="98" spans="1:11">
      <c r="A98" s="77" t="s">
        <v>163</v>
      </c>
      <c r="B98" s="36" t="s">
        <v>161</v>
      </c>
      <c r="C98" s="149">
        <v>21</v>
      </c>
      <c r="D98" s="139" t="s">
        <v>298</v>
      </c>
      <c r="E98" s="73">
        <v>0</v>
      </c>
      <c r="F98" s="74" t="s">
        <v>291</v>
      </c>
      <c r="G98" s="74">
        <v>1</v>
      </c>
      <c r="H98" s="74">
        <f t="shared" si="7"/>
        <v>250</v>
      </c>
      <c r="I98" s="36" t="s">
        <v>299</v>
      </c>
      <c r="J98" s="74"/>
      <c r="K98" s="74"/>
    </row>
    <row r="99" spans="1:11">
      <c r="A99" s="77" t="s">
        <v>147</v>
      </c>
      <c r="B99" s="138" t="s">
        <v>145</v>
      </c>
      <c r="C99" s="152">
        <v>1</v>
      </c>
      <c r="D99" s="138" t="s">
        <v>290</v>
      </c>
      <c r="E99" s="142">
        <v>0</v>
      </c>
      <c r="F99" s="210" t="s">
        <v>291</v>
      </c>
      <c r="G99" s="142">
        <v>2</v>
      </c>
      <c r="H99" s="76">
        <v>2</v>
      </c>
      <c r="I99" s="75" t="s">
        <v>402</v>
      </c>
      <c r="J99" s="76"/>
      <c r="K99" s="76"/>
    </row>
    <row r="100" spans="1:11">
      <c r="A100" s="188" t="s">
        <v>147</v>
      </c>
      <c r="B100" s="184" t="s">
        <v>145</v>
      </c>
      <c r="C100" s="194">
        <v>2</v>
      </c>
      <c r="D100" s="184" t="s">
        <v>302</v>
      </c>
      <c r="E100" s="183">
        <v>0</v>
      </c>
      <c r="F100" s="214" t="s">
        <v>291</v>
      </c>
      <c r="G100" s="183">
        <v>3</v>
      </c>
      <c r="H100" s="191">
        <f t="shared" ref="H100:H106" si="8">H99+G100</f>
        <v>5</v>
      </c>
      <c r="I100" s="187" t="s">
        <v>368</v>
      </c>
      <c r="J100" s="85"/>
      <c r="K100" s="76"/>
    </row>
    <row r="101" spans="1:11">
      <c r="A101" s="77" t="s">
        <v>147</v>
      </c>
      <c r="B101" s="84" t="s">
        <v>145</v>
      </c>
      <c r="C101" s="153">
        <v>3</v>
      </c>
      <c r="D101" s="138" t="s">
        <v>403</v>
      </c>
      <c r="E101" s="4">
        <v>0</v>
      </c>
      <c r="F101" s="211" t="s">
        <v>291</v>
      </c>
      <c r="G101" s="76">
        <v>12</v>
      </c>
      <c r="H101" s="76">
        <f t="shared" si="8"/>
        <v>17</v>
      </c>
      <c r="I101" s="75" t="s">
        <v>369</v>
      </c>
      <c r="J101" s="85"/>
      <c r="K101" s="76"/>
    </row>
    <row r="102" spans="1:11">
      <c r="A102" s="77" t="s">
        <v>147</v>
      </c>
      <c r="B102" s="84" t="s">
        <v>145</v>
      </c>
      <c r="C102" s="153">
        <v>4</v>
      </c>
      <c r="D102" s="138" t="s">
        <v>404</v>
      </c>
      <c r="E102" s="4">
        <v>0</v>
      </c>
      <c r="F102" s="211" t="s">
        <v>291</v>
      </c>
      <c r="G102" s="76">
        <v>6</v>
      </c>
      <c r="H102" s="76">
        <f t="shared" si="8"/>
        <v>23</v>
      </c>
      <c r="I102" s="75" t="s">
        <v>405</v>
      </c>
      <c r="J102" s="85"/>
      <c r="K102" s="76"/>
    </row>
    <row r="103" spans="1:11">
      <c r="A103" s="77" t="s">
        <v>147</v>
      </c>
      <c r="B103" s="84" t="s">
        <v>145</v>
      </c>
      <c r="C103" s="153">
        <v>5</v>
      </c>
      <c r="D103" s="138" t="s">
        <v>406</v>
      </c>
      <c r="E103" s="4">
        <v>2</v>
      </c>
      <c r="F103" s="211" t="s">
        <v>312</v>
      </c>
      <c r="G103" s="76">
        <v>9</v>
      </c>
      <c r="H103" s="76">
        <f t="shared" si="8"/>
        <v>32</v>
      </c>
      <c r="I103" s="75" t="s">
        <v>388</v>
      </c>
      <c r="J103" s="85"/>
      <c r="K103" s="76"/>
    </row>
    <row r="104" spans="1:11">
      <c r="A104" s="77" t="s">
        <v>147</v>
      </c>
      <c r="B104" s="84" t="s">
        <v>145</v>
      </c>
      <c r="C104" s="205">
        <v>6</v>
      </c>
      <c r="D104" s="138" t="s">
        <v>407</v>
      </c>
      <c r="E104" s="4">
        <v>2</v>
      </c>
      <c r="F104" s="211" t="s">
        <v>312</v>
      </c>
      <c r="G104" s="76">
        <v>9</v>
      </c>
      <c r="H104" s="76">
        <f t="shared" si="8"/>
        <v>41</v>
      </c>
      <c r="I104" s="75" t="s">
        <v>388</v>
      </c>
      <c r="J104" s="85"/>
      <c r="K104" s="76"/>
    </row>
    <row r="105" spans="1:11">
      <c r="A105" s="77" t="s">
        <v>147</v>
      </c>
      <c r="B105" s="84" t="s">
        <v>145</v>
      </c>
      <c r="C105" s="206">
        <v>7</v>
      </c>
      <c r="D105" s="138" t="s">
        <v>320</v>
      </c>
      <c r="E105" s="4">
        <v>0</v>
      </c>
      <c r="F105" s="211" t="s">
        <v>291</v>
      </c>
      <c r="G105" s="76">
        <v>28</v>
      </c>
      <c r="H105" s="76">
        <f t="shared" si="8"/>
        <v>69</v>
      </c>
      <c r="I105" s="75" t="s">
        <v>321</v>
      </c>
      <c r="J105" s="85"/>
      <c r="K105" s="76"/>
    </row>
    <row r="106" spans="1:11">
      <c r="A106" s="77" t="s">
        <v>147</v>
      </c>
      <c r="B106" s="80" t="s">
        <v>145</v>
      </c>
      <c r="C106" s="149">
        <v>8</v>
      </c>
      <c r="D106" s="139" t="s">
        <v>298</v>
      </c>
      <c r="E106" s="73">
        <v>0</v>
      </c>
      <c r="F106" s="213" t="s">
        <v>291</v>
      </c>
      <c r="G106" s="74">
        <v>1</v>
      </c>
      <c r="H106" s="74">
        <f t="shared" si="8"/>
        <v>70</v>
      </c>
      <c r="I106" s="144" t="s">
        <v>299</v>
      </c>
      <c r="J106" s="74"/>
      <c r="K106" s="74"/>
    </row>
    <row r="107" spans="1:11">
      <c r="A107" s="77" t="s">
        <v>151</v>
      </c>
      <c r="B107" s="138" t="s">
        <v>148</v>
      </c>
      <c r="C107" s="152">
        <v>1</v>
      </c>
      <c r="D107" s="138" t="s">
        <v>290</v>
      </c>
      <c r="E107" s="142">
        <v>0</v>
      </c>
      <c r="F107" s="210" t="s">
        <v>291</v>
      </c>
      <c r="G107" s="142">
        <v>2</v>
      </c>
      <c r="H107" s="76">
        <v>2</v>
      </c>
      <c r="I107" s="75" t="s">
        <v>408</v>
      </c>
      <c r="J107" s="76"/>
      <c r="K107" s="76"/>
    </row>
    <row r="108" spans="1:11">
      <c r="A108" s="188" t="s">
        <v>151</v>
      </c>
      <c r="B108" s="184" t="s">
        <v>148</v>
      </c>
      <c r="C108" s="194">
        <v>2</v>
      </c>
      <c r="D108" s="184" t="s">
        <v>302</v>
      </c>
      <c r="E108" s="183">
        <v>0</v>
      </c>
      <c r="F108" s="214" t="s">
        <v>291</v>
      </c>
      <c r="G108" s="183">
        <v>3</v>
      </c>
      <c r="H108" s="191">
        <f t="shared" ref="H108:H114" si="9">H107+G108</f>
        <v>5</v>
      </c>
      <c r="I108" s="187" t="s">
        <v>368</v>
      </c>
      <c r="J108" s="76"/>
      <c r="K108" s="76"/>
    </row>
    <row r="109" spans="1:11">
      <c r="A109" s="77" t="s">
        <v>151</v>
      </c>
      <c r="B109" s="79" t="s">
        <v>148</v>
      </c>
      <c r="C109" s="153">
        <v>3</v>
      </c>
      <c r="D109" s="138" t="s">
        <v>403</v>
      </c>
      <c r="E109" s="4">
        <v>0</v>
      </c>
      <c r="F109" s="211" t="s">
        <v>291</v>
      </c>
      <c r="G109" s="76">
        <v>12</v>
      </c>
      <c r="H109" s="76">
        <f t="shared" si="9"/>
        <v>17</v>
      </c>
      <c r="I109" s="75" t="s">
        <v>369</v>
      </c>
      <c r="J109" s="85"/>
      <c r="K109" s="76"/>
    </row>
    <row r="110" spans="1:11">
      <c r="A110" s="77" t="s">
        <v>151</v>
      </c>
      <c r="B110" s="79" t="s">
        <v>148</v>
      </c>
      <c r="C110" s="153">
        <v>4</v>
      </c>
      <c r="D110" s="138" t="s">
        <v>404</v>
      </c>
      <c r="E110" s="4">
        <v>0</v>
      </c>
      <c r="F110" s="211" t="s">
        <v>291</v>
      </c>
      <c r="G110" s="76">
        <v>6</v>
      </c>
      <c r="H110" s="76">
        <f t="shared" si="9"/>
        <v>23</v>
      </c>
      <c r="I110" s="75" t="s">
        <v>409</v>
      </c>
      <c r="J110" s="85"/>
      <c r="K110" s="76"/>
    </row>
    <row r="111" spans="1:11">
      <c r="A111" s="77" t="s">
        <v>151</v>
      </c>
      <c r="B111" s="79" t="s">
        <v>148</v>
      </c>
      <c r="C111" s="206">
        <v>5</v>
      </c>
      <c r="D111" s="138" t="s">
        <v>406</v>
      </c>
      <c r="E111" s="4">
        <v>2</v>
      </c>
      <c r="F111" s="211" t="s">
        <v>312</v>
      </c>
      <c r="G111" s="76">
        <v>9</v>
      </c>
      <c r="H111" s="76">
        <f t="shared" si="9"/>
        <v>32</v>
      </c>
      <c r="I111" s="75" t="s">
        <v>388</v>
      </c>
      <c r="J111" s="85"/>
      <c r="K111" s="76"/>
    </row>
    <row r="112" spans="1:11">
      <c r="A112" s="77" t="s">
        <v>151</v>
      </c>
      <c r="B112" s="79" t="s">
        <v>148</v>
      </c>
      <c r="C112" s="205">
        <v>6</v>
      </c>
      <c r="D112" s="138" t="s">
        <v>407</v>
      </c>
      <c r="E112" s="4">
        <v>2</v>
      </c>
      <c r="F112" s="211" t="s">
        <v>312</v>
      </c>
      <c r="G112" s="76">
        <v>9</v>
      </c>
      <c r="H112" s="76">
        <f t="shared" si="9"/>
        <v>41</v>
      </c>
      <c r="I112" s="75" t="s">
        <v>388</v>
      </c>
      <c r="J112" s="85"/>
      <c r="K112" s="76"/>
    </row>
    <row r="113" spans="1:11">
      <c r="A113" s="77" t="s">
        <v>151</v>
      </c>
      <c r="B113" s="79" t="s">
        <v>148</v>
      </c>
      <c r="C113" s="206">
        <v>7</v>
      </c>
      <c r="D113" s="138" t="s">
        <v>320</v>
      </c>
      <c r="E113" s="4">
        <v>0</v>
      </c>
      <c r="F113" s="211" t="s">
        <v>291</v>
      </c>
      <c r="G113" s="76">
        <v>8</v>
      </c>
      <c r="H113" s="76">
        <f t="shared" si="9"/>
        <v>49</v>
      </c>
      <c r="I113" s="75" t="s">
        <v>321</v>
      </c>
      <c r="J113" s="85"/>
      <c r="K113" s="76"/>
    </row>
    <row r="114" spans="1:11">
      <c r="A114" s="77" t="s">
        <v>151</v>
      </c>
      <c r="B114" s="36" t="s">
        <v>148</v>
      </c>
      <c r="C114" s="149">
        <v>8</v>
      </c>
      <c r="D114" s="139" t="s">
        <v>298</v>
      </c>
      <c r="E114" s="73">
        <v>0</v>
      </c>
      <c r="F114" s="213" t="s">
        <v>291</v>
      </c>
      <c r="G114" s="74">
        <v>1</v>
      </c>
      <c r="H114" s="74">
        <f t="shared" si="9"/>
        <v>50</v>
      </c>
      <c r="I114" s="36" t="s">
        <v>299</v>
      </c>
      <c r="J114" s="74"/>
      <c r="K114" s="74"/>
    </row>
    <row r="115" spans="1:11">
      <c r="A115" s="77" t="s">
        <v>410</v>
      </c>
      <c r="B115" s="75" t="s">
        <v>152</v>
      </c>
      <c r="C115" s="76">
        <v>1</v>
      </c>
      <c r="D115" s="75" t="s">
        <v>290</v>
      </c>
      <c r="E115" s="76">
        <v>0</v>
      </c>
      <c r="F115" s="210" t="s">
        <v>291</v>
      </c>
      <c r="G115" s="76">
        <v>2</v>
      </c>
      <c r="H115" s="76">
        <v>2</v>
      </c>
      <c r="I115" s="75" t="s">
        <v>411</v>
      </c>
      <c r="J115" s="76"/>
      <c r="K115" s="76"/>
    </row>
    <row r="116" spans="1:11">
      <c r="A116" s="188" t="s">
        <v>154</v>
      </c>
      <c r="B116" s="192" t="s">
        <v>152</v>
      </c>
      <c r="C116" s="191">
        <v>2</v>
      </c>
      <c r="D116" s="184" t="s">
        <v>302</v>
      </c>
      <c r="E116" s="191">
        <v>0</v>
      </c>
      <c r="F116" s="214" t="s">
        <v>291</v>
      </c>
      <c r="G116" s="191">
        <v>3</v>
      </c>
      <c r="H116" s="191">
        <f t="shared" ref="H116:H130" si="10">H115+G116</f>
        <v>5</v>
      </c>
      <c r="I116" s="187" t="s">
        <v>368</v>
      </c>
      <c r="J116" s="76"/>
      <c r="K116" s="76"/>
    </row>
    <row r="117" spans="1:11">
      <c r="A117" s="77" t="s">
        <v>154</v>
      </c>
      <c r="B117" s="84" t="s">
        <v>152</v>
      </c>
      <c r="C117" s="206">
        <v>3</v>
      </c>
      <c r="D117" s="138" t="s">
        <v>403</v>
      </c>
      <c r="E117" s="4">
        <v>0</v>
      </c>
      <c r="F117" s="211" t="s">
        <v>291</v>
      </c>
      <c r="G117" s="76">
        <v>12</v>
      </c>
      <c r="H117" s="76">
        <f t="shared" si="10"/>
        <v>17</v>
      </c>
      <c r="I117" s="75" t="s">
        <v>369</v>
      </c>
      <c r="J117" s="85"/>
      <c r="K117" s="76"/>
    </row>
    <row r="118" spans="1:11">
      <c r="A118" s="77" t="s">
        <v>154</v>
      </c>
      <c r="B118" s="84" t="s">
        <v>152</v>
      </c>
      <c r="C118" s="205">
        <v>4</v>
      </c>
      <c r="D118" s="138" t="s">
        <v>412</v>
      </c>
      <c r="E118" s="4">
        <v>0</v>
      </c>
      <c r="F118" s="85" t="s">
        <v>307</v>
      </c>
      <c r="G118" s="76">
        <v>8</v>
      </c>
      <c r="H118" s="76">
        <f t="shared" si="10"/>
        <v>25</v>
      </c>
      <c r="I118" s="75" t="s">
        <v>413</v>
      </c>
      <c r="J118" s="85"/>
      <c r="K118" s="76"/>
    </row>
    <row r="119" spans="1:11">
      <c r="A119" s="77" t="s">
        <v>154</v>
      </c>
      <c r="B119" s="84" t="s">
        <v>152</v>
      </c>
      <c r="C119" s="206">
        <v>5</v>
      </c>
      <c r="D119" s="138" t="s">
        <v>414</v>
      </c>
      <c r="E119" s="4">
        <v>0</v>
      </c>
      <c r="F119" s="85" t="s">
        <v>291</v>
      </c>
      <c r="G119" s="76">
        <v>8</v>
      </c>
      <c r="H119" s="76">
        <f t="shared" si="10"/>
        <v>33</v>
      </c>
      <c r="I119" s="75" t="s">
        <v>415</v>
      </c>
      <c r="J119" s="85"/>
      <c r="K119" s="76"/>
    </row>
    <row r="120" spans="1:11">
      <c r="A120" s="77" t="s">
        <v>154</v>
      </c>
      <c r="B120" s="84" t="s">
        <v>152</v>
      </c>
      <c r="C120" s="205">
        <v>6</v>
      </c>
      <c r="D120" s="138" t="s">
        <v>416</v>
      </c>
      <c r="E120" s="4">
        <v>0</v>
      </c>
      <c r="F120" s="85" t="s">
        <v>291</v>
      </c>
      <c r="G120" s="76">
        <v>3</v>
      </c>
      <c r="H120" s="76">
        <f t="shared" si="10"/>
        <v>36</v>
      </c>
      <c r="I120" s="75" t="s">
        <v>372</v>
      </c>
      <c r="J120" s="85"/>
      <c r="K120" s="76"/>
    </row>
    <row r="121" spans="1:11">
      <c r="A121" s="77" t="s">
        <v>154</v>
      </c>
      <c r="B121" s="84" t="s">
        <v>152</v>
      </c>
      <c r="C121" s="206">
        <v>7</v>
      </c>
      <c r="D121" s="138" t="s">
        <v>417</v>
      </c>
      <c r="E121" s="4">
        <v>0</v>
      </c>
      <c r="F121" s="85" t="s">
        <v>307</v>
      </c>
      <c r="G121" s="76">
        <v>4</v>
      </c>
      <c r="H121" s="76">
        <f t="shared" si="10"/>
        <v>40</v>
      </c>
      <c r="I121" s="75" t="s">
        <v>418</v>
      </c>
      <c r="J121" s="85"/>
      <c r="K121" s="76"/>
    </row>
    <row r="122" spans="1:11" ht="337.5">
      <c r="A122" s="77" t="s">
        <v>154</v>
      </c>
      <c r="B122" s="84" t="s">
        <v>152</v>
      </c>
      <c r="C122" s="205">
        <v>8</v>
      </c>
      <c r="D122" s="138" t="s">
        <v>419</v>
      </c>
      <c r="E122" s="4">
        <v>0</v>
      </c>
      <c r="F122" s="85" t="s">
        <v>291</v>
      </c>
      <c r="G122" s="76">
        <v>12</v>
      </c>
      <c r="H122" s="76">
        <f t="shared" si="10"/>
        <v>52</v>
      </c>
      <c r="I122" s="75" t="s">
        <v>420</v>
      </c>
      <c r="J122" s="85"/>
      <c r="K122" s="76"/>
    </row>
    <row r="123" spans="1:11" ht="168.75">
      <c r="A123" s="77" t="s">
        <v>154</v>
      </c>
      <c r="B123" s="84" t="s">
        <v>152</v>
      </c>
      <c r="C123" s="206">
        <v>9</v>
      </c>
      <c r="D123" s="138" t="s">
        <v>421</v>
      </c>
      <c r="E123" s="4">
        <v>2</v>
      </c>
      <c r="F123" s="85" t="s">
        <v>422</v>
      </c>
      <c r="G123" s="76" t="s">
        <v>423</v>
      </c>
      <c r="H123" s="76">
        <f t="shared" si="10"/>
        <v>70</v>
      </c>
      <c r="I123" s="75" t="s">
        <v>424</v>
      </c>
      <c r="J123" s="85"/>
      <c r="K123" s="76"/>
    </row>
    <row r="124" spans="1:11" ht="22.5">
      <c r="A124" s="77" t="s">
        <v>154</v>
      </c>
      <c r="B124" s="84" t="s">
        <v>152</v>
      </c>
      <c r="C124" s="205">
        <v>10</v>
      </c>
      <c r="D124" s="138" t="s">
        <v>425</v>
      </c>
      <c r="E124" s="4">
        <v>0</v>
      </c>
      <c r="F124" s="85" t="s">
        <v>291</v>
      </c>
      <c r="G124" s="76" t="s">
        <v>426</v>
      </c>
      <c r="H124" s="76">
        <f t="shared" si="10"/>
        <v>71</v>
      </c>
      <c r="I124" s="75" t="s">
        <v>427</v>
      </c>
      <c r="J124" s="85"/>
      <c r="K124" s="76"/>
    </row>
    <row r="125" spans="1:11">
      <c r="A125" s="77" t="s">
        <v>154</v>
      </c>
      <c r="B125" s="84" t="s">
        <v>152</v>
      </c>
      <c r="C125" s="206">
        <v>11</v>
      </c>
      <c r="D125" s="138" t="s">
        <v>428</v>
      </c>
      <c r="E125" s="4">
        <v>0</v>
      </c>
      <c r="F125" s="85" t="s">
        <v>291</v>
      </c>
      <c r="G125" s="76" t="s">
        <v>429</v>
      </c>
      <c r="H125" s="76">
        <f t="shared" si="10"/>
        <v>111</v>
      </c>
      <c r="I125" s="75" t="s">
        <v>430</v>
      </c>
      <c r="J125" s="85"/>
      <c r="K125" s="76"/>
    </row>
    <row r="126" spans="1:11" ht="157.5">
      <c r="A126" s="77" t="s">
        <v>154</v>
      </c>
      <c r="B126" s="84" t="s">
        <v>152</v>
      </c>
      <c r="C126" s="205">
        <v>12</v>
      </c>
      <c r="D126" s="138" t="s">
        <v>431</v>
      </c>
      <c r="E126" s="4">
        <v>0</v>
      </c>
      <c r="F126" s="85" t="s">
        <v>307</v>
      </c>
      <c r="G126" s="76">
        <v>18</v>
      </c>
      <c r="H126" s="76">
        <f t="shared" si="10"/>
        <v>129</v>
      </c>
      <c r="I126" s="126" t="s">
        <v>432</v>
      </c>
      <c r="J126" s="85"/>
      <c r="K126" s="76"/>
    </row>
    <row r="127" spans="1:11" ht="33.75">
      <c r="A127" s="77" t="s">
        <v>154</v>
      </c>
      <c r="B127" s="84" t="s">
        <v>152</v>
      </c>
      <c r="C127" s="206">
        <v>13</v>
      </c>
      <c r="D127" s="138" t="s">
        <v>433</v>
      </c>
      <c r="E127" s="4">
        <v>0</v>
      </c>
      <c r="F127" s="85" t="s">
        <v>291</v>
      </c>
      <c r="G127" s="76">
        <v>8</v>
      </c>
      <c r="H127" s="76">
        <f t="shared" si="10"/>
        <v>137</v>
      </c>
      <c r="I127" s="75" t="s">
        <v>434</v>
      </c>
      <c r="J127" s="85"/>
      <c r="K127" s="76"/>
    </row>
    <row r="128" spans="1:11">
      <c r="A128" s="77" t="s">
        <v>154</v>
      </c>
      <c r="B128" s="84" t="s">
        <v>152</v>
      </c>
      <c r="C128" s="205">
        <v>14</v>
      </c>
      <c r="D128" s="138" t="s">
        <v>435</v>
      </c>
      <c r="E128" s="4">
        <v>0</v>
      </c>
      <c r="F128" s="85" t="s">
        <v>307</v>
      </c>
      <c r="G128" s="76">
        <v>18</v>
      </c>
      <c r="H128" s="76">
        <f t="shared" si="10"/>
        <v>155</v>
      </c>
      <c r="I128" s="75" t="s">
        <v>436</v>
      </c>
      <c r="J128" s="85"/>
      <c r="K128" s="76"/>
    </row>
    <row r="129" spans="1:11">
      <c r="A129" s="77" t="s">
        <v>154</v>
      </c>
      <c r="B129" s="84" t="s">
        <v>152</v>
      </c>
      <c r="C129" s="206">
        <v>15</v>
      </c>
      <c r="D129" s="138" t="s">
        <v>320</v>
      </c>
      <c r="E129" s="4">
        <v>0</v>
      </c>
      <c r="F129" s="85" t="s">
        <v>291</v>
      </c>
      <c r="G129" s="76">
        <v>4</v>
      </c>
      <c r="H129" s="76">
        <f t="shared" si="10"/>
        <v>159</v>
      </c>
      <c r="I129" s="75"/>
      <c r="J129" s="85"/>
      <c r="K129" s="76"/>
    </row>
    <row r="130" spans="1:11">
      <c r="A130" s="77" t="s">
        <v>154</v>
      </c>
      <c r="B130" s="80" t="s">
        <v>152</v>
      </c>
      <c r="C130" s="149">
        <v>16</v>
      </c>
      <c r="D130" s="139" t="s">
        <v>298</v>
      </c>
      <c r="E130" s="73">
        <v>0</v>
      </c>
      <c r="F130" s="74" t="s">
        <v>291</v>
      </c>
      <c r="G130" s="74">
        <v>1</v>
      </c>
      <c r="H130" s="74">
        <f t="shared" si="10"/>
        <v>160</v>
      </c>
      <c r="I130" s="36" t="s">
        <v>299</v>
      </c>
      <c r="J130" s="74"/>
      <c r="K130" s="74"/>
    </row>
    <row r="131" spans="1:11">
      <c r="A131" s="77" t="s">
        <v>437</v>
      </c>
      <c r="B131" s="75" t="s">
        <v>164</v>
      </c>
      <c r="C131" s="76">
        <v>1</v>
      </c>
      <c r="D131" s="75" t="s">
        <v>290</v>
      </c>
      <c r="E131" s="76">
        <v>0</v>
      </c>
      <c r="F131" s="210" t="s">
        <v>291</v>
      </c>
      <c r="G131" s="76">
        <v>2</v>
      </c>
      <c r="H131" s="76">
        <v>2</v>
      </c>
      <c r="I131" s="75" t="s">
        <v>438</v>
      </c>
      <c r="J131" s="76"/>
      <c r="K131" s="76"/>
    </row>
    <row r="132" spans="1:11">
      <c r="A132" s="188" t="s">
        <v>166</v>
      </c>
      <c r="B132" s="192" t="s">
        <v>164</v>
      </c>
      <c r="C132" s="191">
        <v>2</v>
      </c>
      <c r="D132" s="184" t="s">
        <v>302</v>
      </c>
      <c r="E132" s="191">
        <v>0</v>
      </c>
      <c r="F132" s="214" t="s">
        <v>291</v>
      </c>
      <c r="G132" s="191">
        <v>3</v>
      </c>
      <c r="H132" s="191">
        <f t="shared" ref="H132:H140" si="11">H131+G132</f>
        <v>5</v>
      </c>
      <c r="I132" s="187" t="s">
        <v>368</v>
      </c>
      <c r="J132" s="76"/>
      <c r="K132" s="76"/>
    </row>
    <row r="133" spans="1:11">
      <c r="A133" s="77" t="s">
        <v>166</v>
      </c>
      <c r="B133" s="79" t="s">
        <v>164</v>
      </c>
      <c r="C133" s="206">
        <v>3</v>
      </c>
      <c r="D133" s="138" t="s">
        <v>403</v>
      </c>
      <c r="E133" s="4">
        <v>0</v>
      </c>
      <c r="F133" s="211" t="s">
        <v>291</v>
      </c>
      <c r="G133" s="76">
        <v>12</v>
      </c>
      <c r="H133" s="76">
        <f t="shared" si="11"/>
        <v>17</v>
      </c>
      <c r="I133" s="75" t="s">
        <v>369</v>
      </c>
      <c r="J133" s="85"/>
      <c r="K133" s="76"/>
    </row>
    <row r="134" spans="1:11">
      <c r="A134" s="77" t="s">
        <v>166</v>
      </c>
      <c r="B134" s="79" t="s">
        <v>164</v>
      </c>
      <c r="C134" s="205">
        <v>4</v>
      </c>
      <c r="D134" s="138" t="s">
        <v>306</v>
      </c>
      <c r="E134" s="4">
        <v>0</v>
      </c>
      <c r="F134" s="85" t="s">
        <v>307</v>
      </c>
      <c r="G134" s="76">
        <v>8</v>
      </c>
      <c r="H134" s="76">
        <f t="shared" si="11"/>
        <v>25</v>
      </c>
      <c r="I134" s="75" t="s">
        <v>439</v>
      </c>
      <c r="J134" s="85"/>
      <c r="K134" s="76"/>
    </row>
    <row r="135" spans="1:11">
      <c r="A135" s="77" t="s">
        <v>166</v>
      </c>
      <c r="B135" s="79" t="s">
        <v>164</v>
      </c>
      <c r="C135" s="206">
        <v>5</v>
      </c>
      <c r="D135" s="138" t="s">
        <v>414</v>
      </c>
      <c r="E135" s="4">
        <v>0</v>
      </c>
      <c r="F135" s="85" t="s">
        <v>291</v>
      </c>
      <c r="G135" s="76">
        <v>8</v>
      </c>
      <c r="H135" s="76">
        <f t="shared" si="11"/>
        <v>33</v>
      </c>
      <c r="I135" s="75" t="s">
        <v>440</v>
      </c>
      <c r="J135" s="85"/>
      <c r="K135" s="76"/>
    </row>
    <row r="136" spans="1:11">
      <c r="A136" s="77" t="s">
        <v>166</v>
      </c>
      <c r="B136" s="79" t="s">
        <v>164</v>
      </c>
      <c r="C136" s="205">
        <v>6</v>
      </c>
      <c r="D136" s="138" t="s">
        <v>441</v>
      </c>
      <c r="E136" s="4">
        <v>2</v>
      </c>
      <c r="F136" s="85" t="s">
        <v>312</v>
      </c>
      <c r="G136" s="76">
        <v>9</v>
      </c>
      <c r="H136" s="76">
        <f t="shared" si="11"/>
        <v>42</v>
      </c>
      <c r="I136" s="75" t="s">
        <v>442</v>
      </c>
      <c r="J136" s="85"/>
      <c r="K136" s="76"/>
    </row>
    <row r="137" spans="1:11">
      <c r="A137" s="77" t="s">
        <v>166</v>
      </c>
      <c r="B137" s="79" t="s">
        <v>164</v>
      </c>
      <c r="C137" s="206">
        <v>7</v>
      </c>
      <c r="D137" s="138" t="s">
        <v>443</v>
      </c>
      <c r="E137" s="4">
        <v>0</v>
      </c>
      <c r="F137" s="85" t="s">
        <v>291</v>
      </c>
      <c r="G137" s="76">
        <v>1</v>
      </c>
      <c r="H137" s="76">
        <f t="shared" si="11"/>
        <v>43</v>
      </c>
      <c r="I137" s="75" t="s">
        <v>444</v>
      </c>
      <c r="J137" s="85"/>
      <c r="K137" s="76"/>
    </row>
    <row r="138" spans="1:11">
      <c r="A138" s="77" t="s">
        <v>166</v>
      </c>
      <c r="B138" s="79" t="s">
        <v>164</v>
      </c>
      <c r="C138" s="205">
        <v>8</v>
      </c>
      <c r="D138" s="138" t="s">
        <v>445</v>
      </c>
      <c r="E138" s="4">
        <v>2</v>
      </c>
      <c r="F138" s="85" t="s">
        <v>312</v>
      </c>
      <c r="G138" s="76">
        <v>9</v>
      </c>
      <c r="H138" s="76">
        <f t="shared" si="11"/>
        <v>52</v>
      </c>
      <c r="I138" s="75" t="s">
        <v>442</v>
      </c>
      <c r="J138" s="85"/>
      <c r="K138" s="76"/>
    </row>
    <row r="139" spans="1:11">
      <c r="A139" s="77" t="s">
        <v>166</v>
      </c>
      <c r="B139" s="79" t="s">
        <v>164</v>
      </c>
      <c r="C139" s="206">
        <v>9</v>
      </c>
      <c r="D139" s="138" t="s">
        <v>320</v>
      </c>
      <c r="E139" s="4">
        <v>0</v>
      </c>
      <c r="F139" s="85" t="s">
        <v>291</v>
      </c>
      <c r="G139" s="76">
        <v>7</v>
      </c>
      <c r="H139" s="76">
        <f t="shared" si="11"/>
        <v>59</v>
      </c>
      <c r="I139" s="75" t="s">
        <v>321</v>
      </c>
      <c r="J139" s="85"/>
      <c r="K139" s="76"/>
    </row>
    <row r="140" spans="1:11">
      <c r="A140" s="77" t="s">
        <v>166</v>
      </c>
      <c r="B140" s="80" t="s">
        <v>164</v>
      </c>
      <c r="C140" s="149">
        <v>10</v>
      </c>
      <c r="D140" s="139" t="s">
        <v>298</v>
      </c>
      <c r="E140" s="73">
        <v>0</v>
      </c>
      <c r="F140" s="74" t="s">
        <v>291</v>
      </c>
      <c r="G140" s="74">
        <v>1</v>
      </c>
      <c r="H140" s="74">
        <f t="shared" si="11"/>
        <v>60</v>
      </c>
      <c r="I140" s="36" t="s">
        <v>299</v>
      </c>
      <c r="J140" s="74"/>
      <c r="K140" s="74"/>
    </row>
    <row r="141" spans="1:11">
      <c r="A141" s="77" t="s">
        <v>446</v>
      </c>
      <c r="B141" s="75" t="s">
        <v>170</v>
      </c>
      <c r="C141" s="76">
        <v>1</v>
      </c>
      <c r="D141" s="75" t="s">
        <v>290</v>
      </c>
      <c r="E141" s="76">
        <v>0</v>
      </c>
      <c r="F141" s="210" t="s">
        <v>291</v>
      </c>
      <c r="G141" s="76">
        <v>2</v>
      </c>
      <c r="H141" s="76">
        <v>2</v>
      </c>
      <c r="I141" s="75" t="s">
        <v>447</v>
      </c>
      <c r="J141" s="76"/>
      <c r="K141" s="76"/>
    </row>
    <row r="142" spans="1:11">
      <c r="A142" s="188" t="s">
        <v>172</v>
      </c>
      <c r="B142" s="192" t="s">
        <v>170</v>
      </c>
      <c r="C142" s="191">
        <v>2</v>
      </c>
      <c r="D142" s="184" t="s">
        <v>302</v>
      </c>
      <c r="E142" s="191">
        <v>0</v>
      </c>
      <c r="F142" s="214" t="s">
        <v>291</v>
      </c>
      <c r="G142" s="191">
        <v>3</v>
      </c>
      <c r="H142" s="191">
        <f t="shared" ref="H142:H156" si="12">H141+G142</f>
        <v>5</v>
      </c>
      <c r="I142" s="187" t="s">
        <v>368</v>
      </c>
      <c r="J142" s="76"/>
      <c r="K142" s="76"/>
    </row>
    <row r="143" spans="1:11">
      <c r="A143" s="77" t="s">
        <v>172</v>
      </c>
      <c r="B143" s="79" t="s">
        <v>170</v>
      </c>
      <c r="C143" s="206">
        <v>3</v>
      </c>
      <c r="D143" s="138" t="s">
        <v>403</v>
      </c>
      <c r="E143" s="4">
        <v>0</v>
      </c>
      <c r="F143" s="211" t="s">
        <v>291</v>
      </c>
      <c r="G143" s="76">
        <v>12</v>
      </c>
      <c r="H143" s="76">
        <f t="shared" si="12"/>
        <v>17</v>
      </c>
      <c r="I143" s="75" t="s">
        <v>369</v>
      </c>
      <c r="J143" s="85"/>
      <c r="K143" s="76"/>
    </row>
    <row r="144" spans="1:11">
      <c r="A144" s="77" t="s">
        <v>172</v>
      </c>
      <c r="B144" s="79" t="s">
        <v>170</v>
      </c>
      <c r="C144" s="205">
        <v>4</v>
      </c>
      <c r="D144" s="138" t="s">
        <v>412</v>
      </c>
      <c r="E144" s="4">
        <v>0</v>
      </c>
      <c r="F144" s="85" t="s">
        <v>307</v>
      </c>
      <c r="G144" s="76">
        <v>8</v>
      </c>
      <c r="H144" s="76">
        <f t="shared" si="12"/>
        <v>25</v>
      </c>
      <c r="I144" s="75" t="s">
        <v>448</v>
      </c>
      <c r="J144" s="85"/>
      <c r="K144" s="76"/>
    </row>
    <row r="145" spans="1:11">
      <c r="A145" s="77" t="s">
        <v>172</v>
      </c>
      <c r="B145" s="79" t="s">
        <v>170</v>
      </c>
      <c r="C145" s="206">
        <v>5</v>
      </c>
      <c r="D145" s="138" t="s">
        <v>414</v>
      </c>
      <c r="E145" s="4">
        <v>0</v>
      </c>
      <c r="F145" s="85" t="s">
        <v>291</v>
      </c>
      <c r="G145" s="76">
        <v>8</v>
      </c>
      <c r="H145" s="76">
        <f t="shared" si="12"/>
        <v>33</v>
      </c>
      <c r="I145" s="75" t="s">
        <v>310</v>
      </c>
      <c r="J145" s="85"/>
      <c r="K145" s="76"/>
    </row>
    <row r="146" spans="1:11">
      <c r="A146" s="77" t="s">
        <v>172</v>
      </c>
      <c r="B146" s="79" t="s">
        <v>170</v>
      </c>
      <c r="C146" s="205">
        <v>6</v>
      </c>
      <c r="D146" s="138" t="s">
        <v>416</v>
      </c>
      <c r="E146" s="4">
        <v>0</v>
      </c>
      <c r="F146" s="85" t="s">
        <v>291</v>
      </c>
      <c r="G146" s="76">
        <v>3</v>
      </c>
      <c r="H146" s="76">
        <f t="shared" si="12"/>
        <v>36</v>
      </c>
      <c r="I146" s="75" t="s">
        <v>372</v>
      </c>
      <c r="J146" s="85"/>
      <c r="K146" s="76"/>
    </row>
    <row r="147" spans="1:11">
      <c r="A147" s="77" t="s">
        <v>172</v>
      </c>
      <c r="B147" s="79" t="s">
        <v>170</v>
      </c>
      <c r="C147" s="206">
        <v>7</v>
      </c>
      <c r="D147" s="138" t="s">
        <v>449</v>
      </c>
      <c r="E147" s="4">
        <v>0</v>
      </c>
      <c r="F147" s="85" t="s">
        <v>291</v>
      </c>
      <c r="G147" s="76">
        <v>50</v>
      </c>
      <c r="H147" s="76">
        <f t="shared" si="12"/>
        <v>86</v>
      </c>
      <c r="I147" s="75" t="s">
        <v>449</v>
      </c>
      <c r="J147" s="85"/>
      <c r="K147" s="76"/>
    </row>
    <row r="148" spans="1:11">
      <c r="A148" s="77" t="s">
        <v>172</v>
      </c>
      <c r="B148" s="79" t="s">
        <v>170</v>
      </c>
      <c r="C148" s="205">
        <v>8</v>
      </c>
      <c r="D148" s="138" t="s">
        <v>450</v>
      </c>
      <c r="E148" s="4">
        <v>0</v>
      </c>
      <c r="F148" s="85" t="s">
        <v>291</v>
      </c>
      <c r="G148" s="76">
        <v>1</v>
      </c>
      <c r="H148" s="76">
        <f t="shared" si="12"/>
        <v>87</v>
      </c>
      <c r="I148" s="75" t="s">
        <v>451</v>
      </c>
      <c r="J148" s="85"/>
      <c r="K148" s="76"/>
    </row>
    <row r="149" spans="1:11">
      <c r="A149" s="77" t="s">
        <v>172</v>
      </c>
      <c r="B149" s="79" t="s">
        <v>170</v>
      </c>
      <c r="C149" s="206">
        <v>9</v>
      </c>
      <c r="D149" s="138" t="s">
        <v>452</v>
      </c>
      <c r="E149" s="4">
        <v>0</v>
      </c>
      <c r="F149" s="85" t="s">
        <v>307</v>
      </c>
      <c r="G149" s="76">
        <v>15</v>
      </c>
      <c r="H149" s="76">
        <f t="shared" si="12"/>
        <v>102</v>
      </c>
      <c r="I149" s="75" t="s">
        <v>346</v>
      </c>
      <c r="J149" s="85"/>
      <c r="K149" s="76"/>
    </row>
    <row r="150" spans="1:11">
      <c r="A150" s="77" t="s">
        <v>172</v>
      </c>
      <c r="B150" s="79" t="s">
        <v>170</v>
      </c>
      <c r="C150" s="205">
        <v>10</v>
      </c>
      <c r="D150" s="138" t="s">
        <v>453</v>
      </c>
      <c r="E150" s="4">
        <v>0</v>
      </c>
      <c r="F150" s="85" t="s">
        <v>307</v>
      </c>
      <c r="G150" s="76">
        <v>15</v>
      </c>
      <c r="H150" s="76">
        <f t="shared" si="12"/>
        <v>117</v>
      </c>
      <c r="I150" s="75" t="s">
        <v>346</v>
      </c>
      <c r="J150" s="85"/>
      <c r="K150" s="76"/>
    </row>
    <row r="151" spans="1:11">
      <c r="A151" s="77" t="s">
        <v>172</v>
      </c>
      <c r="B151" s="79" t="s">
        <v>170</v>
      </c>
      <c r="C151" s="206">
        <v>11</v>
      </c>
      <c r="D151" s="138" t="s">
        <v>454</v>
      </c>
      <c r="E151" s="4">
        <v>0</v>
      </c>
      <c r="F151" s="85" t="s">
        <v>307</v>
      </c>
      <c r="G151" s="76">
        <v>15</v>
      </c>
      <c r="H151" s="76">
        <f t="shared" si="12"/>
        <v>132</v>
      </c>
      <c r="I151" s="75" t="s">
        <v>346</v>
      </c>
      <c r="J151" s="85"/>
      <c r="K151" s="76"/>
    </row>
    <row r="152" spans="1:11">
      <c r="A152" s="77" t="s">
        <v>172</v>
      </c>
      <c r="B152" s="79" t="s">
        <v>170</v>
      </c>
      <c r="C152" s="205">
        <v>12</v>
      </c>
      <c r="D152" s="138" t="s">
        <v>455</v>
      </c>
      <c r="E152" s="4">
        <v>2</v>
      </c>
      <c r="F152" s="85" t="s">
        <v>312</v>
      </c>
      <c r="G152" s="76">
        <v>7</v>
      </c>
      <c r="H152" s="76">
        <f t="shared" si="12"/>
        <v>139</v>
      </c>
      <c r="I152" s="75" t="s">
        <v>456</v>
      </c>
      <c r="J152" s="85"/>
      <c r="K152" s="76"/>
    </row>
    <row r="153" spans="1:11">
      <c r="A153" s="77" t="s">
        <v>172</v>
      </c>
      <c r="B153" s="79" t="s">
        <v>170</v>
      </c>
      <c r="C153" s="206">
        <v>13</v>
      </c>
      <c r="D153" s="138" t="s">
        <v>457</v>
      </c>
      <c r="E153" s="4">
        <v>0</v>
      </c>
      <c r="F153" s="85" t="s">
        <v>307</v>
      </c>
      <c r="G153" s="76">
        <v>15</v>
      </c>
      <c r="H153" s="76">
        <f t="shared" si="12"/>
        <v>154</v>
      </c>
      <c r="I153" s="75" t="s">
        <v>346</v>
      </c>
      <c r="J153" s="85"/>
      <c r="K153" s="76"/>
    </row>
    <row r="154" spans="1:11">
      <c r="A154" s="77" t="s">
        <v>172</v>
      </c>
      <c r="B154" s="79" t="s">
        <v>170</v>
      </c>
      <c r="C154" s="205">
        <v>14</v>
      </c>
      <c r="D154" s="138" t="s">
        <v>458</v>
      </c>
      <c r="E154" s="4">
        <v>2</v>
      </c>
      <c r="F154" s="85" t="s">
        <v>312</v>
      </c>
      <c r="G154" s="76">
        <v>7</v>
      </c>
      <c r="H154" s="76">
        <f t="shared" si="12"/>
        <v>161</v>
      </c>
      <c r="I154" s="75" t="s">
        <v>459</v>
      </c>
      <c r="J154" s="85"/>
      <c r="K154" s="76"/>
    </row>
    <row r="155" spans="1:11">
      <c r="A155" s="77" t="s">
        <v>172</v>
      </c>
      <c r="B155" s="79" t="s">
        <v>170</v>
      </c>
      <c r="C155" s="206">
        <v>15</v>
      </c>
      <c r="D155" s="138" t="s">
        <v>320</v>
      </c>
      <c r="E155" s="4">
        <v>0</v>
      </c>
      <c r="F155" s="85" t="s">
        <v>291</v>
      </c>
      <c r="G155" s="76">
        <v>38</v>
      </c>
      <c r="H155" s="76">
        <f t="shared" si="12"/>
        <v>199</v>
      </c>
      <c r="I155" s="75" t="s">
        <v>321</v>
      </c>
      <c r="J155" s="85"/>
      <c r="K155" s="76"/>
    </row>
    <row r="156" spans="1:11">
      <c r="A156" s="77" t="s">
        <v>172</v>
      </c>
      <c r="B156" s="80" t="s">
        <v>170</v>
      </c>
      <c r="C156" s="149">
        <v>16</v>
      </c>
      <c r="D156" s="139" t="s">
        <v>298</v>
      </c>
      <c r="E156" s="73">
        <v>0</v>
      </c>
      <c r="F156" s="74" t="s">
        <v>291</v>
      </c>
      <c r="G156" s="74">
        <v>1</v>
      </c>
      <c r="H156" s="74">
        <f t="shared" si="12"/>
        <v>200</v>
      </c>
      <c r="I156" s="36" t="s">
        <v>299</v>
      </c>
      <c r="J156" s="74"/>
      <c r="K156" s="74"/>
    </row>
    <row r="157" spans="1:11">
      <c r="A157" s="77" t="s">
        <v>460</v>
      </c>
      <c r="B157" s="75" t="s">
        <v>173</v>
      </c>
      <c r="C157" s="76">
        <v>1</v>
      </c>
      <c r="D157" s="75" t="s">
        <v>290</v>
      </c>
      <c r="E157" s="76">
        <v>0</v>
      </c>
      <c r="F157" s="210" t="s">
        <v>291</v>
      </c>
      <c r="G157" s="76">
        <v>2</v>
      </c>
      <c r="H157" s="76">
        <v>2</v>
      </c>
      <c r="I157" s="75" t="s">
        <v>461</v>
      </c>
      <c r="J157" s="76"/>
      <c r="K157" s="76"/>
    </row>
    <row r="158" spans="1:11">
      <c r="A158" s="188" t="s">
        <v>175</v>
      </c>
      <c r="B158" s="192" t="s">
        <v>173</v>
      </c>
      <c r="C158" s="191">
        <v>2</v>
      </c>
      <c r="D158" s="184" t="s">
        <v>302</v>
      </c>
      <c r="E158" s="191">
        <v>0</v>
      </c>
      <c r="F158" s="214" t="s">
        <v>291</v>
      </c>
      <c r="G158" s="191">
        <v>3</v>
      </c>
      <c r="H158" s="191">
        <f t="shared" ref="H158:H168" si="13">H157+G158</f>
        <v>5</v>
      </c>
      <c r="I158" s="187" t="s">
        <v>368</v>
      </c>
      <c r="J158" s="76"/>
      <c r="K158" s="76"/>
    </row>
    <row r="159" spans="1:11">
      <c r="A159" s="77" t="s">
        <v>175</v>
      </c>
      <c r="B159" s="79" t="s">
        <v>173</v>
      </c>
      <c r="C159" s="206">
        <v>3</v>
      </c>
      <c r="D159" s="138" t="s">
        <v>304</v>
      </c>
      <c r="E159" s="4">
        <v>0</v>
      </c>
      <c r="F159" s="211" t="s">
        <v>291</v>
      </c>
      <c r="G159" s="76">
        <v>12</v>
      </c>
      <c r="H159" s="76">
        <f t="shared" si="13"/>
        <v>17</v>
      </c>
      <c r="I159" s="75" t="s">
        <v>369</v>
      </c>
      <c r="J159" s="85"/>
      <c r="K159" s="76"/>
    </row>
    <row r="160" spans="1:11">
      <c r="A160" s="77" t="s">
        <v>175</v>
      </c>
      <c r="B160" s="79" t="s">
        <v>173</v>
      </c>
      <c r="C160" s="205">
        <v>4</v>
      </c>
      <c r="D160" s="138" t="s">
        <v>412</v>
      </c>
      <c r="E160" s="4">
        <v>0</v>
      </c>
      <c r="F160" s="211" t="s">
        <v>307</v>
      </c>
      <c r="G160" s="76">
        <v>8</v>
      </c>
      <c r="H160" s="76">
        <f t="shared" si="13"/>
        <v>25</v>
      </c>
      <c r="I160" s="75" t="s">
        <v>448</v>
      </c>
      <c r="J160" s="85"/>
      <c r="K160" s="76"/>
    </row>
    <row r="161" spans="1:11">
      <c r="A161" s="77" t="s">
        <v>175</v>
      </c>
      <c r="B161" s="79" t="s">
        <v>173</v>
      </c>
      <c r="C161" s="206">
        <v>5</v>
      </c>
      <c r="D161" s="138" t="s">
        <v>414</v>
      </c>
      <c r="E161" s="4">
        <v>0</v>
      </c>
      <c r="F161" s="85" t="s">
        <v>291</v>
      </c>
      <c r="G161" s="76">
        <v>8</v>
      </c>
      <c r="H161" s="76">
        <f t="shared" si="13"/>
        <v>33</v>
      </c>
      <c r="I161" s="75" t="s">
        <v>310</v>
      </c>
      <c r="J161" s="85"/>
      <c r="K161" s="76"/>
    </row>
    <row r="162" spans="1:11">
      <c r="A162" s="77" t="s">
        <v>175</v>
      </c>
      <c r="B162" s="79" t="s">
        <v>173</v>
      </c>
      <c r="C162" s="205">
        <v>6</v>
      </c>
      <c r="D162" s="138" t="s">
        <v>416</v>
      </c>
      <c r="E162" s="4">
        <v>0</v>
      </c>
      <c r="F162" s="85" t="s">
        <v>291</v>
      </c>
      <c r="G162" s="76">
        <v>3</v>
      </c>
      <c r="H162" s="76">
        <f t="shared" si="13"/>
        <v>36</v>
      </c>
      <c r="I162" s="75" t="s">
        <v>372</v>
      </c>
      <c r="J162" s="85"/>
      <c r="K162" s="76"/>
    </row>
    <row r="163" spans="1:11">
      <c r="A163" s="77" t="s">
        <v>175</v>
      </c>
      <c r="B163" s="79" t="s">
        <v>173</v>
      </c>
      <c r="C163" s="206">
        <v>7</v>
      </c>
      <c r="D163" s="138" t="s">
        <v>417</v>
      </c>
      <c r="E163" s="4">
        <v>0</v>
      </c>
      <c r="F163" s="211" t="s">
        <v>307</v>
      </c>
      <c r="G163" s="76">
        <v>4</v>
      </c>
      <c r="H163" s="76">
        <f t="shared" si="13"/>
        <v>40</v>
      </c>
      <c r="I163" s="75" t="s">
        <v>462</v>
      </c>
      <c r="J163" s="85"/>
      <c r="K163" s="76"/>
    </row>
    <row r="164" spans="1:11">
      <c r="A164" s="77" t="s">
        <v>175</v>
      </c>
      <c r="B164" s="79" t="s">
        <v>173</v>
      </c>
      <c r="C164" s="205">
        <v>8</v>
      </c>
      <c r="D164" s="138" t="s">
        <v>419</v>
      </c>
      <c r="E164" s="4">
        <v>0</v>
      </c>
      <c r="F164" s="85" t="s">
        <v>291</v>
      </c>
      <c r="G164" s="76">
        <v>12</v>
      </c>
      <c r="H164" s="76">
        <f t="shared" si="13"/>
        <v>52</v>
      </c>
      <c r="I164" s="75" t="s">
        <v>463</v>
      </c>
      <c r="J164" s="85"/>
      <c r="K164" s="76"/>
    </row>
    <row r="165" spans="1:11">
      <c r="A165" s="77" t="s">
        <v>175</v>
      </c>
      <c r="B165" s="79" t="s">
        <v>173</v>
      </c>
      <c r="C165" s="206">
        <v>9</v>
      </c>
      <c r="D165" s="138" t="s">
        <v>428</v>
      </c>
      <c r="E165" s="4">
        <v>0</v>
      </c>
      <c r="F165" s="85" t="s">
        <v>291</v>
      </c>
      <c r="G165" s="76">
        <v>80</v>
      </c>
      <c r="H165" s="76">
        <f t="shared" si="13"/>
        <v>132</v>
      </c>
      <c r="I165" s="75" t="s">
        <v>464</v>
      </c>
      <c r="J165" s="85"/>
      <c r="K165" s="76"/>
    </row>
    <row r="166" spans="1:11">
      <c r="A166" s="77" t="s">
        <v>175</v>
      </c>
      <c r="B166" s="79" t="s">
        <v>173</v>
      </c>
      <c r="C166" s="205">
        <v>10</v>
      </c>
      <c r="D166" s="138" t="s">
        <v>465</v>
      </c>
      <c r="E166" s="4">
        <v>2</v>
      </c>
      <c r="F166" s="85" t="s">
        <v>312</v>
      </c>
      <c r="G166" s="76">
        <v>7</v>
      </c>
      <c r="H166" s="76">
        <f t="shared" si="13"/>
        <v>139</v>
      </c>
      <c r="I166" s="75" t="s">
        <v>466</v>
      </c>
      <c r="J166" s="85"/>
      <c r="K166" s="76"/>
    </row>
    <row r="167" spans="1:11">
      <c r="A167" s="77" t="s">
        <v>175</v>
      </c>
      <c r="B167" s="79" t="s">
        <v>173</v>
      </c>
      <c r="C167" s="206">
        <v>11</v>
      </c>
      <c r="D167" s="138" t="s">
        <v>320</v>
      </c>
      <c r="E167" s="4">
        <v>0</v>
      </c>
      <c r="F167" s="85" t="s">
        <v>291</v>
      </c>
      <c r="G167" s="76">
        <v>60</v>
      </c>
      <c r="H167" s="76">
        <f t="shared" si="13"/>
        <v>199</v>
      </c>
      <c r="I167" s="75" t="s">
        <v>321</v>
      </c>
      <c r="J167" s="85"/>
      <c r="K167" s="76"/>
    </row>
    <row r="168" spans="1:11">
      <c r="A168" s="77" t="s">
        <v>175</v>
      </c>
      <c r="B168" s="80" t="s">
        <v>173</v>
      </c>
      <c r="C168" s="149">
        <v>12</v>
      </c>
      <c r="D168" s="139" t="s">
        <v>298</v>
      </c>
      <c r="E168" s="73">
        <v>0</v>
      </c>
      <c r="F168" s="74" t="s">
        <v>291</v>
      </c>
      <c r="G168" s="74">
        <v>1</v>
      </c>
      <c r="H168" s="74">
        <f t="shared" si="13"/>
        <v>200</v>
      </c>
      <c r="I168" s="36" t="s">
        <v>299</v>
      </c>
      <c r="J168" s="74"/>
      <c r="K168" s="74"/>
    </row>
    <row r="169" spans="1:11">
      <c r="A169" s="77" t="s">
        <v>467</v>
      </c>
      <c r="B169" s="75" t="s">
        <v>468</v>
      </c>
      <c r="C169" s="76">
        <v>1</v>
      </c>
      <c r="D169" s="75" t="s">
        <v>290</v>
      </c>
      <c r="E169" s="76">
        <v>0</v>
      </c>
      <c r="F169" s="210" t="s">
        <v>291</v>
      </c>
      <c r="G169" s="76">
        <v>2</v>
      </c>
      <c r="H169" s="76">
        <v>2</v>
      </c>
      <c r="I169" s="75" t="s">
        <v>469</v>
      </c>
      <c r="J169" s="76"/>
      <c r="K169" s="76"/>
    </row>
    <row r="170" spans="1:11">
      <c r="A170" s="188" t="s">
        <v>178</v>
      </c>
      <c r="B170" s="192" t="s">
        <v>468</v>
      </c>
      <c r="C170" s="191">
        <v>2</v>
      </c>
      <c r="D170" s="184" t="s">
        <v>302</v>
      </c>
      <c r="E170" s="191">
        <v>0</v>
      </c>
      <c r="F170" s="214" t="s">
        <v>291</v>
      </c>
      <c r="G170" s="191">
        <v>3</v>
      </c>
      <c r="H170" s="191">
        <f t="shared" ref="H170:H184" si="14">H169+G170</f>
        <v>5</v>
      </c>
      <c r="I170" s="192" t="s">
        <v>470</v>
      </c>
      <c r="J170" s="76"/>
      <c r="K170" s="76"/>
    </row>
    <row r="171" spans="1:11">
      <c r="A171" s="77" t="s">
        <v>178</v>
      </c>
      <c r="B171" s="84" t="s">
        <v>468</v>
      </c>
      <c r="C171" s="206">
        <v>3</v>
      </c>
      <c r="D171" s="138" t="s">
        <v>304</v>
      </c>
      <c r="E171" s="4">
        <v>0</v>
      </c>
      <c r="F171" s="211" t="s">
        <v>291</v>
      </c>
      <c r="G171" s="76">
        <v>12</v>
      </c>
      <c r="H171" s="76">
        <f t="shared" si="14"/>
        <v>17</v>
      </c>
      <c r="I171" s="75" t="s">
        <v>471</v>
      </c>
      <c r="J171" s="85"/>
      <c r="K171" s="76"/>
    </row>
    <row r="172" spans="1:11">
      <c r="A172" s="77" t="s">
        <v>178</v>
      </c>
      <c r="B172" s="84" t="s">
        <v>468</v>
      </c>
      <c r="C172" s="205">
        <v>4</v>
      </c>
      <c r="D172" s="138" t="s">
        <v>306</v>
      </c>
      <c r="E172" s="4">
        <v>0</v>
      </c>
      <c r="F172" s="211" t="s">
        <v>307</v>
      </c>
      <c r="G172" s="76">
        <v>8</v>
      </c>
      <c r="H172" s="76">
        <f t="shared" si="14"/>
        <v>25</v>
      </c>
      <c r="I172" s="75" t="s">
        <v>308</v>
      </c>
      <c r="J172" s="85"/>
      <c r="K172" s="76"/>
    </row>
    <row r="173" spans="1:11">
      <c r="A173" s="77" t="s">
        <v>178</v>
      </c>
      <c r="B173" s="84" t="s">
        <v>468</v>
      </c>
      <c r="C173" s="205">
        <v>5</v>
      </c>
      <c r="D173" s="138" t="s">
        <v>472</v>
      </c>
      <c r="E173" s="4">
        <v>2</v>
      </c>
      <c r="F173" s="211" t="s">
        <v>312</v>
      </c>
      <c r="G173" s="76">
        <v>9</v>
      </c>
      <c r="H173" s="76">
        <f t="shared" si="14"/>
        <v>34</v>
      </c>
      <c r="I173" s="75" t="s">
        <v>473</v>
      </c>
      <c r="J173" s="85"/>
      <c r="K173" s="76"/>
    </row>
    <row r="174" spans="1:11">
      <c r="A174" s="77" t="s">
        <v>178</v>
      </c>
      <c r="B174" s="84" t="s">
        <v>468</v>
      </c>
      <c r="C174" s="205">
        <v>6</v>
      </c>
      <c r="D174" s="138" t="s">
        <v>474</v>
      </c>
      <c r="E174" s="4">
        <v>0</v>
      </c>
      <c r="F174" s="211" t="s">
        <v>307</v>
      </c>
      <c r="G174" s="76">
        <v>15</v>
      </c>
      <c r="H174" s="76">
        <f t="shared" si="14"/>
        <v>49</v>
      </c>
      <c r="I174" s="75" t="s">
        <v>380</v>
      </c>
      <c r="J174" s="85"/>
      <c r="K174" s="76"/>
    </row>
    <row r="175" spans="1:11">
      <c r="A175" s="77" t="s">
        <v>178</v>
      </c>
      <c r="B175" s="84" t="s">
        <v>468</v>
      </c>
      <c r="C175" s="205">
        <v>7</v>
      </c>
      <c r="D175" s="138" t="s">
        <v>391</v>
      </c>
      <c r="E175" s="4">
        <v>2</v>
      </c>
      <c r="F175" s="211" t="s">
        <v>312</v>
      </c>
      <c r="G175" s="76">
        <v>9</v>
      </c>
      <c r="H175" s="76">
        <f t="shared" si="14"/>
        <v>58</v>
      </c>
      <c r="I175" s="75" t="s">
        <v>392</v>
      </c>
      <c r="J175" s="85"/>
      <c r="K175" s="76"/>
    </row>
    <row r="176" spans="1:11">
      <c r="A176" s="77" t="s">
        <v>178</v>
      </c>
      <c r="B176" s="84" t="s">
        <v>468</v>
      </c>
      <c r="C176" s="205">
        <v>8</v>
      </c>
      <c r="D176" s="138" t="s">
        <v>393</v>
      </c>
      <c r="E176" s="4">
        <v>2</v>
      </c>
      <c r="F176" s="211" t="s">
        <v>312</v>
      </c>
      <c r="G176" s="76">
        <v>9</v>
      </c>
      <c r="H176" s="76">
        <f t="shared" si="14"/>
        <v>67</v>
      </c>
      <c r="I176" s="75" t="s">
        <v>392</v>
      </c>
      <c r="J176" s="85"/>
      <c r="K176" s="76"/>
    </row>
    <row r="177" spans="1:11">
      <c r="A177" s="77" t="s">
        <v>178</v>
      </c>
      <c r="B177" s="84" t="s">
        <v>468</v>
      </c>
      <c r="C177" s="205">
        <v>9</v>
      </c>
      <c r="D177" s="138" t="s">
        <v>394</v>
      </c>
      <c r="E177" s="4">
        <v>2</v>
      </c>
      <c r="F177" s="211" t="s">
        <v>312</v>
      </c>
      <c r="G177" s="76">
        <v>12</v>
      </c>
      <c r="H177" s="76">
        <f t="shared" si="14"/>
        <v>79</v>
      </c>
      <c r="I177" s="75" t="s">
        <v>395</v>
      </c>
      <c r="J177" s="85"/>
      <c r="K177" s="76"/>
    </row>
    <row r="178" spans="1:11">
      <c r="A178" s="77" t="s">
        <v>178</v>
      </c>
      <c r="B178" s="84" t="s">
        <v>468</v>
      </c>
      <c r="C178" s="205">
        <v>10</v>
      </c>
      <c r="D178" s="138" t="s">
        <v>475</v>
      </c>
      <c r="E178" s="4">
        <v>2</v>
      </c>
      <c r="F178" s="211" t="s">
        <v>312</v>
      </c>
      <c r="G178" s="76">
        <v>9</v>
      </c>
      <c r="H178" s="76">
        <f t="shared" si="14"/>
        <v>88</v>
      </c>
      <c r="I178" s="75" t="s">
        <v>392</v>
      </c>
      <c r="J178" s="85"/>
      <c r="K178" s="76"/>
    </row>
    <row r="179" spans="1:11">
      <c r="A179" s="77" t="s">
        <v>178</v>
      </c>
      <c r="B179" s="84" t="s">
        <v>468</v>
      </c>
      <c r="C179" s="205">
        <v>11</v>
      </c>
      <c r="D179" s="138" t="s">
        <v>476</v>
      </c>
      <c r="E179" s="4">
        <v>0</v>
      </c>
      <c r="F179" s="85" t="s">
        <v>291</v>
      </c>
      <c r="G179" s="76">
        <v>2</v>
      </c>
      <c r="H179" s="76">
        <f t="shared" si="14"/>
        <v>90</v>
      </c>
      <c r="I179" s="75" t="s">
        <v>477</v>
      </c>
      <c r="J179" s="85"/>
      <c r="K179" s="76"/>
    </row>
    <row r="180" spans="1:11">
      <c r="A180" s="77" t="s">
        <v>178</v>
      </c>
      <c r="B180" s="84" t="s">
        <v>468</v>
      </c>
      <c r="C180" s="205">
        <v>12</v>
      </c>
      <c r="D180" s="138" t="s">
        <v>478</v>
      </c>
      <c r="E180" s="4">
        <v>0</v>
      </c>
      <c r="F180" s="211" t="s">
        <v>307</v>
      </c>
      <c r="G180" s="76">
        <v>10</v>
      </c>
      <c r="H180" s="76">
        <f t="shared" si="14"/>
        <v>100</v>
      </c>
      <c r="I180" s="75" t="s">
        <v>390</v>
      </c>
      <c r="J180" s="85"/>
      <c r="K180" s="76"/>
    </row>
    <row r="181" spans="1:11">
      <c r="A181" s="77" t="s">
        <v>178</v>
      </c>
      <c r="B181" s="84" t="s">
        <v>468</v>
      </c>
      <c r="C181" s="205">
        <v>13</v>
      </c>
      <c r="D181" s="138" t="s">
        <v>479</v>
      </c>
      <c r="E181" s="4">
        <v>8</v>
      </c>
      <c r="F181" s="211" t="s">
        <v>312</v>
      </c>
      <c r="G181" s="76">
        <v>10</v>
      </c>
      <c r="H181" s="76">
        <f t="shared" si="14"/>
        <v>110</v>
      </c>
      <c r="I181" s="75" t="s">
        <v>480</v>
      </c>
      <c r="J181" s="85"/>
      <c r="K181" s="76"/>
    </row>
    <row r="182" spans="1:11">
      <c r="A182" s="77" t="s">
        <v>178</v>
      </c>
      <c r="B182" s="84" t="s">
        <v>468</v>
      </c>
      <c r="C182" s="205">
        <v>14</v>
      </c>
      <c r="D182" s="138" t="s">
        <v>481</v>
      </c>
      <c r="E182" s="4">
        <v>2</v>
      </c>
      <c r="F182" s="211" t="s">
        <v>312</v>
      </c>
      <c r="G182" s="76">
        <v>9</v>
      </c>
      <c r="H182" s="76">
        <f t="shared" si="14"/>
        <v>119</v>
      </c>
      <c r="I182" s="75" t="s">
        <v>482</v>
      </c>
      <c r="J182" s="85"/>
      <c r="K182" s="76"/>
    </row>
    <row r="183" spans="1:11">
      <c r="A183" s="77" t="s">
        <v>178</v>
      </c>
      <c r="B183" s="84" t="s">
        <v>468</v>
      </c>
      <c r="C183" s="205">
        <v>15</v>
      </c>
      <c r="D183" s="138" t="s">
        <v>320</v>
      </c>
      <c r="E183" s="4">
        <v>0</v>
      </c>
      <c r="F183" s="85" t="s">
        <v>291</v>
      </c>
      <c r="G183" s="76">
        <v>10</v>
      </c>
      <c r="H183" s="76">
        <f t="shared" si="14"/>
        <v>129</v>
      </c>
      <c r="I183" s="75" t="s">
        <v>321</v>
      </c>
      <c r="J183" s="85"/>
      <c r="K183" s="76"/>
    </row>
    <row r="184" spans="1:11">
      <c r="A184" s="77" t="s">
        <v>178</v>
      </c>
      <c r="B184" s="80" t="s">
        <v>468</v>
      </c>
      <c r="C184" s="149">
        <v>16</v>
      </c>
      <c r="D184" s="139" t="s">
        <v>298</v>
      </c>
      <c r="E184" s="73">
        <v>0</v>
      </c>
      <c r="F184" s="74" t="s">
        <v>291</v>
      </c>
      <c r="G184" s="74">
        <v>1</v>
      </c>
      <c r="H184" s="74">
        <f t="shared" si="14"/>
        <v>130</v>
      </c>
      <c r="I184" s="36" t="s">
        <v>299</v>
      </c>
      <c r="J184" s="74"/>
      <c r="K184" s="74"/>
    </row>
    <row r="185" spans="1:11">
      <c r="A185" s="77" t="s">
        <v>483</v>
      </c>
      <c r="B185" s="75" t="s">
        <v>179</v>
      </c>
      <c r="C185" s="76">
        <v>1</v>
      </c>
      <c r="D185" s="75" t="s">
        <v>290</v>
      </c>
      <c r="E185" s="76">
        <v>0</v>
      </c>
      <c r="F185" s="210" t="s">
        <v>291</v>
      </c>
      <c r="G185" s="76">
        <v>2</v>
      </c>
      <c r="H185" s="76">
        <v>2</v>
      </c>
      <c r="I185" s="75" t="s">
        <v>484</v>
      </c>
      <c r="J185" s="76"/>
      <c r="K185" s="76"/>
    </row>
    <row r="186" spans="1:11">
      <c r="A186" s="188" t="s">
        <v>181</v>
      </c>
      <c r="B186" s="192" t="s">
        <v>179</v>
      </c>
      <c r="C186" s="191">
        <v>2</v>
      </c>
      <c r="D186" s="184" t="s">
        <v>302</v>
      </c>
      <c r="E186" s="191">
        <v>0</v>
      </c>
      <c r="F186" s="214" t="s">
        <v>291</v>
      </c>
      <c r="G186" s="191">
        <v>3</v>
      </c>
      <c r="H186" s="191">
        <f t="shared" ref="H186:H196" si="15">H185+G186</f>
        <v>5</v>
      </c>
      <c r="I186" s="192" t="s">
        <v>470</v>
      </c>
      <c r="J186" s="76"/>
      <c r="K186" s="76"/>
    </row>
    <row r="187" spans="1:11">
      <c r="A187" s="77" t="s">
        <v>181</v>
      </c>
      <c r="B187" s="79" t="s">
        <v>179</v>
      </c>
      <c r="C187" s="85">
        <v>3</v>
      </c>
      <c r="D187" s="138" t="s">
        <v>403</v>
      </c>
      <c r="E187" s="4">
        <v>0</v>
      </c>
      <c r="F187" s="211" t="s">
        <v>291</v>
      </c>
      <c r="G187" s="76">
        <v>12</v>
      </c>
      <c r="H187" s="85">
        <f t="shared" si="15"/>
        <v>17</v>
      </c>
      <c r="I187" s="75" t="s">
        <v>471</v>
      </c>
      <c r="J187" s="85"/>
      <c r="K187" s="76"/>
    </row>
    <row r="188" spans="1:11">
      <c r="A188" s="77" t="s">
        <v>181</v>
      </c>
      <c r="B188" s="79" t="s">
        <v>179</v>
      </c>
      <c r="C188" s="85">
        <v>4</v>
      </c>
      <c r="D188" s="138" t="s">
        <v>412</v>
      </c>
      <c r="E188" s="4">
        <v>0</v>
      </c>
      <c r="F188" s="211" t="s">
        <v>307</v>
      </c>
      <c r="G188" s="76">
        <v>8</v>
      </c>
      <c r="H188" s="76">
        <f t="shared" si="15"/>
        <v>25</v>
      </c>
      <c r="I188" s="75" t="s">
        <v>439</v>
      </c>
      <c r="J188" s="85"/>
      <c r="K188" s="76"/>
    </row>
    <row r="189" spans="1:11">
      <c r="A189" s="77" t="s">
        <v>181</v>
      </c>
      <c r="B189" s="79" t="s">
        <v>179</v>
      </c>
      <c r="C189" s="85">
        <v>5</v>
      </c>
      <c r="D189" s="138" t="s">
        <v>414</v>
      </c>
      <c r="E189" s="4">
        <v>0</v>
      </c>
      <c r="F189" s="211" t="s">
        <v>291</v>
      </c>
      <c r="G189" s="76">
        <v>8</v>
      </c>
      <c r="H189" s="76">
        <f t="shared" si="15"/>
        <v>33</v>
      </c>
      <c r="I189" s="75" t="s">
        <v>310</v>
      </c>
      <c r="J189" s="85"/>
      <c r="K189" s="76"/>
    </row>
    <row r="190" spans="1:11">
      <c r="A190" s="77" t="s">
        <v>181</v>
      </c>
      <c r="B190" s="79" t="s">
        <v>179</v>
      </c>
      <c r="C190" s="205">
        <v>6</v>
      </c>
      <c r="D190" s="138" t="s">
        <v>416</v>
      </c>
      <c r="E190" s="4">
        <v>0</v>
      </c>
      <c r="F190" s="211" t="s">
        <v>291</v>
      </c>
      <c r="G190" s="76">
        <v>3</v>
      </c>
      <c r="H190" s="76">
        <f t="shared" si="15"/>
        <v>36</v>
      </c>
      <c r="I190" s="75" t="s">
        <v>416</v>
      </c>
      <c r="J190" s="85"/>
      <c r="K190" s="76"/>
    </row>
    <row r="191" spans="1:11">
      <c r="A191" s="77" t="s">
        <v>181</v>
      </c>
      <c r="B191" s="79" t="s">
        <v>179</v>
      </c>
      <c r="C191" s="205">
        <v>7</v>
      </c>
      <c r="D191" s="138" t="s">
        <v>417</v>
      </c>
      <c r="E191" s="4">
        <v>0</v>
      </c>
      <c r="F191" s="211" t="s">
        <v>307</v>
      </c>
      <c r="G191" s="76">
        <v>4</v>
      </c>
      <c r="H191" s="76">
        <f t="shared" si="15"/>
        <v>40</v>
      </c>
      <c r="I191" s="75" t="s">
        <v>462</v>
      </c>
      <c r="J191" s="85"/>
      <c r="K191" s="76"/>
    </row>
    <row r="192" spans="1:11">
      <c r="A192" s="77" t="s">
        <v>181</v>
      </c>
      <c r="B192" s="79" t="s">
        <v>179</v>
      </c>
      <c r="C192" s="205">
        <v>8</v>
      </c>
      <c r="D192" s="138" t="s">
        <v>419</v>
      </c>
      <c r="E192" s="4">
        <v>0</v>
      </c>
      <c r="F192" s="211" t="s">
        <v>291</v>
      </c>
      <c r="G192" s="76">
        <v>12</v>
      </c>
      <c r="H192" s="76">
        <f t="shared" si="15"/>
        <v>52</v>
      </c>
      <c r="I192" s="75" t="s">
        <v>485</v>
      </c>
      <c r="J192" s="85"/>
      <c r="K192" s="76"/>
    </row>
    <row r="193" spans="1:11">
      <c r="A193" s="77" t="s">
        <v>181</v>
      </c>
      <c r="B193" s="79" t="s">
        <v>179</v>
      </c>
      <c r="C193" s="205">
        <v>9</v>
      </c>
      <c r="D193" s="138" t="s">
        <v>428</v>
      </c>
      <c r="E193" s="4">
        <v>0</v>
      </c>
      <c r="F193" s="211" t="s">
        <v>291</v>
      </c>
      <c r="G193" s="76">
        <v>80</v>
      </c>
      <c r="H193" s="76">
        <f t="shared" si="15"/>
        <v>132</v>
      </c>
      <c r="I193" s="75" t="s">
        <v>464</v>
      </c>
      <c r="J193" s="85"/>
      <c r="K193" s="76"/>
    </row>
    <row r="194" spans="1:11">
      <c r="A194" s="77" t="s">
        <v>181</v>
      </c>
      <c r="B194" s="79" t="s">
        <v>179</v>
      </c>
      <c r="C194" s="205">
        <v>10</v>
      </c>
      <c r="D194" s="138" t="s">
        <v>465</v>
      </c>
      <c r="E194" s="4">
        <v>2</v>
      </c>
      <c r="F194" s="211" t="s">
        <v>312</v>
      </c>
      <c r="G194" s="76">
        <v>7</v>
      </c>
      <c r="H194" s="76">
        <f t="shared" si="15"/>
        <v>139</v>
      </c>
      <c r="I194" s="75" t="s">
        <v>486</v>
      </c>
      <c r="J194" s="85"/>
      <c r="K194" s="76"/>
    </row>
    <row r="195" spans="1:11">
      <c r="A195" s="77" t="s">
        <v>181</v>
      </c>
      <c r="B195" s="79" t="s">
        <v>179</v>
      </c>
      <c r="C195" s="205">
        <v>11</v>
      </c>
      <c r="D195" s="138" t="s">
        <v>320</v>
      </c>
      <c r="E195" s="4">
        <v>0</v>
      </c>
      <c r="F195" s="211" t="s">
        <v>291</v>
      </c>
      <c r="G195" s="76">
        <v>60</v>
      </c>
      <c r="H195" s="76">
        <f t="shared" si="15"/>
        <v>199</v>
      </c>
      <c r="I195" s="75" t="s">
        <v>321</v>
      </c>
      <c r="J195" s="85"/>
      <c r="K195" s="76"/>
    </row>
    <row r="196" spans="1:11">
      <c r="A196" s="77" t="s">
        <v>181</v>
      </c>
      <c r="B196" s="80" t="s">
        <v>179</v>
      </c>
      <c r="C196" s="149">
        <v>12</v>
      </c>
      <c r="D196" s="139" t="s">
        <v>298</v>
      </c>
      <c r="E196" s="73">
        <v>0</v>
      </c>
      <c r="F196" s="215" t="s">
        <v>291</v>
      </c>
      <c r="G196" s="74">
        <v>1</v>
      </c>
      <c r="H196" s="74">
        <f t="shared" si="15"/>
        <v>200</v>
      </c>
      <c r="I196" s="36" t="s">
        <v>299</v>
      </c>
      <c r="J196" s="74"/>
      <c r="K196" s="74"/>
    </row>
    <row r="197" spans="1:11">
      <c r="A197" s="77" t="s">
        <v>187</v>
      </c>
      <c r="B197" s="79" t="s">
        <v>185</v>
      </c>
      <c r="C197" s="76">
        <v>1</v>
      </c>
      <c r="D197" s="75" t="s">
        <v>290</v>
      </c>
      <c r="E197" s="76">
        <v>0</v>
      </c>
      <c r="F197" s="210" t="s">
        <v>291</v>
      </c>
      <c r="G197" s="76">
        <v>2</v>
      </c>
      <c r="H197" s="76">
        <v>2</v>
      </c>
      <c r="I197" s="75" t="s">
        <v>487</v>
      </c>
      <c r="J197" s="76"/>
      <c r="K197" s="76"/>
    </row>
    <row r="198" spans="1:11">
      <c r="A198" s="188" t="s">
        <v>187</v>
      </c>
      <c r="B198" s="189" t="s">
        <v>185</v>
      </c>
      <c r="C198" s="191">
        <v>2</v>
      </c>
      <c r="D198" s="184" t="s">
        <v>302</v>
      </c>
      <c r="E198" s="191">
        <v>0</v>
      </c>
      <c r="F198" s="214" t="s">
        <v>291</v>
      </c>
      <c r="G198" s="191">
        <v>3</v>
      </c>
      <c r="H198" s="191">
        <f t="shared" ref="H198:H205" si="16">H197+G198</f>
        <v>5</v>
      </c>
      <c r="I198" s="192" t="s">
        <v>470</v>
      </c>
      <c r="J198" s="76"/>
      <c r="K198" s="76"/>
    </row>
    <row r="199" spans="1:11">
      <c r="A199" s="77" t="s">
        <v>187</v>
      </c>
      <c r="B199" s="79" t="s">
        <v>185</v>
      </c>
      <c r="C199" s="85">
        <v>3</v>
      </c>
      <c r="D199" s="138" t="s">
        <v>403</v>
      </c>
      <c r="E199" s="4">
        <v>0</v>
      </c>
      <c r="F199" s="211" t="s">
        <v>291</v>
      </c>
      <c r="G199" s="76">
        <v>12</v>
      </c>
      <c r="H199" s="85">
        <f t="shared" si="16"/>
        <v>17</v>
      </c>
      <c r="I199" s="75" t="s">
        <v>471</v>
      </c>
      <c r="J199" s="85"/>
      <c r="K199" s="76"/>
    </row>
    <row r="200" spans="1:11">
      <c r="A200" s="77" t="s">
        <v>187</v>
      </c>
      <c r="B200" s="79" t="s">
        <v>185</v>
      </c>
      <c r="C200" s="85">
        <v>4</v>
      </c>
      <c r="D200" s="138" t="s">
        <v>488</v>
      </c>
      <c r="E200" s="4">
        <v>0</v>
      </c>
      <c r="F200" s="211" t="s">
        <v>307</v>
      </c>
      <c r="G200" s="76">
        <v>8</v>
      </c>
      <c r="H200" s="76">
        <f t="shared" si="16"/>
        <v>25</v>
      </c>
      <c r="I200" s="75" t="s">
        <v>448</v>
      </c>
      <c r="J200" s="85"/>
      <c r="K200" s="76"/>
    </row>
    <row r="201" spans="1:11">
      <c r="A201" s="77" t="s">
        <v>187</v>
      </c>
      <c r="B201" s="79" t="s">
        <v>185</v>
      </c>
      <c r="C201" s="85">
        <v>5</v>
      </c>
      <c r="D201" s="138" t="s">
        <v>414</v>
      </c>
      <c r="E201" s="4">
        <v>0</v>
      </c>
      <c r="F201" s="211" t="s">
        <v>291</v>
      </c>
      <c r="G201" s="76">
        <v>8</v>
      </c>
      <c r="H201" s="76">
        <f t="shared" si="16"/>
        <v>33</v>
      </c>
      <c r="I201" s="75" t="s">
        <v>440</v>
      </c>
      <c r="J201" s="85"/>
      <c r="K201" s="76"/>
    </row>
    <row r="202" spans="1:11">
      <c r="A202" s="77" t="s">
        <v>187</v>
      </c>
      <c r="B202" s="79" t="s">
        <v>185</v>
      </c>
      <c r="C202" s="85">
        <v>6</v>
      </c>
      <c r="D202" s="138" t="s">
        <v>443</v>
      </c>
      <c r="E202" s="4">
        <v>0</v>
      </c>
      <c r="F202" s="211" t="s">
        <v>291</v>
      </c>
      <c r="G202" s="76">
        <v>1</v>
      </c>
      <c r="H202" s="76">
        <f t="shared" si="16"/>
        <v>34</v>
      </c>
      <c r="I202" s="75" t="s">
        <v>489</v>
      </c>
      <c r="J202" s="85"/>
      <c r="K202" s="76"/>
    </row>
    <row r="203" spans="1:11">
      <c r="A203" s="77" t="s">
        <v>187</v>
      </c>
      <c r="B203" s="79" t="s">
        <v>185</v>
      </c>
      <c r="C203" s="85">
        <v>7</v>
      </c>
      <c r="D203" s="138" t="s">
        <v>445</v>
      </c>
      <c r="E203" s="4">
        <v>2</v>
      </c>
      <c r="F203" s="211" t="s">
        <v>312</v>
      </c>
      <c r="G203" s="76">
        <v>9</v>
      </c>
      <c r="H203" s="76">
        <f t="shared" si="16"/>
        <v>43</v>
      </c>
      <c r="I203" s="75" t="s">
        <v>442</v>
      </c>
      <c r="J203" s="85"/>
      <c r="K203" s="76"/>
    </row>
    <row r="204" spans="1:11">
      <c r="A204" s="77" t="s">
        <v>187</v>
      </c>
      <c r="B204" s="79" t="s">
        <v>185</v>
      </c>
      <c r="C204" s="85">
        <v>8</v>
      </c>
      <c r="D204" s="138" t="s">
        <v>320</v>
      </c>
      <c r="E204" s="4">
        <v>0</v>
      </c>
      <c r="F204" s="211" t="s">
        <v>291</v>
      </c>
      <c r="G204" s="76">
        <v>56</v>
      </c>
      <c r="H204" s="76">
        <f t="shared" si="16"/>
        <v>99</v>
      </c>
      <c r="I204" s="75" t="s">
        <v>321</v>
      </c>
      <c r="J204" s="85"/>
      <c r="K204" s="76"/>
    </row>
    <row r="205" spans="1:11">
      <c r="A205" s="77" t="s">
        <v>187</v>
      </c>
      <c r="B205" s="80" t="s">
        <v>185</v>
      </c>
      <c r="C205" s="149">
        <v>9</v>
      </c>
      <c r="D205" s="139" t="s">
        <v>298</v>
      </c>
      <c r="E205" s="73">
        <v>0</v>
      </c>
      <c r="F205" s="215" t="s">
        <v>291</v>
      </c>
      <c r="G205" s="74">
        <v>1</v>
      </c>
      <c r="H205" s="74">
        <f t="shared" si="16"/>
        <v>100</v>
      </c>
      <c r="I205" s="82" t="s">
        <v>299</v>
      </c>
      <c r="J205" s="74"/>
      <c r="K205" s="74"/>
    </row>
    <row r="206" spans="1:11">
      <c r="A206" s="77" t="s">
        <v>490</v>
      </c>
      <c r="B206" s="79" t="s">
        <v>182</v>
      </c>
      <c r="C206" s="76">
        <v>1</v>
      </c>
      <c r="D206" s="75" t="s">
        <v>290</v>
      </c>
      <c r="E206" s="76">
        <v>0</v>
      </c>
      <c r="F206" s="210" t="s">
        <v>291</v>
      </c>
      <c r="G206" s="76">
        <v>2</v>
      </c>
      <c r="H206" s="76">
        <v>2</v>
      </c>
      <c r="I206" s="75" t="s">
        <v>491</v>
      </c>
      <c r="J206" s="76"/>
      <c r="K206" s="76"/>
    </row>
    <row r="207" spans="1:11">
      <c r="A207" s="188" t="s">
        <v>184</v>
      </c>
      <c r="B207" s="189" t="s">
        <v>182</v>
      </c>
      <c r="C207" s="191">
        <v>2</v>
      </c>
      <c r="D207" s="184" t="s">
        <v>302</v>
      </c>
      <c r="E207" s="191">
        <v>0</v>
      </c>
      <c r="F207" s="214" t="s">
        <v>291</v>
      </c>
      <c r="G207" s="191">
        <v>3</v>
      </c>
      <c r="H207" s="191">
        <f t="shared" ref="H207:H213" si="17">H206+G207</f>
        <v>5</v>
      </c>
      <c r="I207" s="192" t="s">
        <v>470</v>
      </c>
      <c r="J207" s="76"/>
      <c r="K207" s="76"/>
    </row>
    <row r="208" spans="1:11">
      <c r="A208" s="77" t="s">
        <v>184</v>
      </c>
      <c r="B208" s="79" t="s">
        <v>182</v>
      </c>
      <c r="C208" s="206">
        <v>3</v>
      </c>
      <c r="D208" s="138" t="s">
        <v>403</v>
      </c>
      <c r="E208" s="4">
        <v>0</v>
      </c>
      <c r="F208" s="211" t="s">
        <v>291</v>
      </c>
      <c r="G208" s="76">
        <v>12</v>
      </c>
      <c r="H208" s="76">
        <f t="shared" si="17"/>
        <v>17</v>
      </c>
      <c r="I208" s="75" t="s">
        <v>471</v>
      </c>
      <c r="J208" s="85"/>
      <c r="K208" s="76"/>
    </row>
    <row r="209" spans="1:11">
      <c r="A209" s="77" t="s">
        <v>184</v>
      </c>
      <c r="B209" s="79" t="s">
        <v>182</v>
      </c>
      <c r="C209" s="205">
        <v>4</v>
      </c>
      <c r="D209" s="138" t="s">
        <v>404</v>
      </c>
      <c r="E209" s="4">
        <v>0</v>
      </c>
      <c r="F209" s="85" t="s">
        <v>291</v>
      </c>
      <c r="G209" s="76">
        <v>6</v>
      </c>
      <c r="H209" s="76">
        <f t="shared" si="17"/>
        <v>23</v>
      </c>
      <c r="I209" s="75" t="s">
        <v>492</v>
      </c>
      <c r="J209" s="85"/>
      <c r="K209" s="76"/>
    </row>
    <row r="210" spans="1:11">
      <c r="A210" s="77" t="s">
        <v>184</v>
      </c>
      <c r="B210" s="79" t="s">
        <v>182</v>
      </c>
      <c r="C210" s="205">
        <v>5</v>
      </c>
      <c r="D210" s="138" t="s">
        <v>493</v>
      </c>
      <c r="E210" s="4">
        <v>2</v>
      </c>
      <c r="F210" s="211" t="s">
        <v>312</v>
      </c>
      <c r="G210" s="76">
        <v>9</v>
      </c>
      <c r="H210" s="76">
        <f t="shared" si="17"/>
        <v>32</v>
      </c>
      <c r="I210" s="75" t="s">
        <v>388</v>
      </c>
      <c r="J210" s="85"/>
      <c r="K210" s="76"/>
    </row>
    <row r="211" spans="1:11">
      <c r="A211" s="77" t="s">
        <v>184</v>
      </c>
      <c r="B211" s="79" t="s">
        <v>182</v>
      </c>
      <c r="C211" s="205">
        <v>6</v>
      </c>
      <c r="D211" s="138" t="s">
        <v>494</v>
      </c>
      <c r="E211" s="4">
        <v>2</v>
      </c>
      <c r="F211" s="211" t="s">
        <v>312</v>
      </c>
      <c r="G211" s="76">
        <v>9</v>
      </c>
      <c r="H211" s="76">
        <f t="shared" si="17"/>
        <v>41</v>
      </c>
      <c r="I211" s="75" t="s">
        <v>388</v>
      </c>
      <c r="J211" s="85"/>
      <c r="K211" s="76"/>
    </row>
    <row r="212" spans="1:11">
      <c r="A212" s="77" t="s">
        <v>184</v>
      </c>
      <c r="B212" s="79" t="s">
        <v>182</v>
      </c>
      <c r="C212" s="205">
        <v>7</v>
      </c>
      <c r="D212" s="138" t="s">
        <v>320</v>
      </c>
      <c r="E212" s="4">
        <v>0</v>
      </c>
      <c r="F212" s="211" t="s">
        <v>291</v>
      </c>
      <c r="G212" s="76">
        <v>28</v>
      </c>
      <c r="H212" s="76">
        <f t="shared" si="17"/>
        <v>69</v>
      </c>
      <c r="I212" s="86"/>
      <c r="J212" s="85"/>
      <c r="K212" s="76"/>
    </row>
    <row r="213" spans="1:11">
      <c r="A213" s="77" t="s">
        <v>184</v>
      </c>
      <c r="B213" s="80" t="s">
        <v>182</v>
      </c>
      <c r="C213" s="149">
        <v>8</v>
      </c>
      <c r="D213" s="139" t="s">
        <v>298</v>
      </c>
      <c r="E213" s="73">
        <v>0</v>
      </c>
      <c r="F213" s="215" t="s">
        <v>291</v>
      </c>
      <c r="G213" s="74">
        <v>1</v>
      </c>
      <c r="H213" s="81">
        <f t="shared" si="17"/>
        <v>70</v>
      </c>
      <c r="I213" s="36" t="s">
        <v>299</v>
      </c>
      <c r="J213" s="74"/>
      <c r="K213" s="74"/>
    </row>
    <row r="214" spans="1:11">
      <c r="A214" s="77" t="s">
        <v>157</v>
      </c>
      <c r="B214" s="79" t="s">
        <v>155</v>
      </c>
      <c r="C214" s="76">
        <v>1</v>
      </c>
      <c r="D214" s="75" t="s">
        <v>290</v>
      </c>
      <c r="E214" s="76">
        <v>0</v>
      </c>
      <c r="F214" s="210" t="s">
        <v>291</v>
      </c>
      <c r="G214" s="76">
        <v>2</v>
      </c>
      <c r="H214" s="76">
        <v>2</v>
      </c>
      <c r="I214" s="75" t="s">
        <v>495</v>
      </c>
      <c r="J214" s="76"/>
      <c r="K214" s="76"/>
    </row>
    <row r="215" spans="1:11">
      <c r="A215" s="188" t="s">
        <v>157</v>
      </c>
      <c r="B215" s="189" t="s">
        <v>155</v>
      </c>
      <c r="C215" s="191">
        <v>2</v>
      </c>
      <c r="D215" s="184" t="s">
        <v>302</v>
      </c>
      <c r="E215" s="191">
        <v>0</v>
      </c>
      <c r="F215" s="214" t="s">
        <v>291</v>
      </c>
      <c r="G215" s="191">
        <v>3</v>
      </c>
      <c r="H215" s="191">
        <f t="shared" ref="H215:H221" si="18">H214+G215</f>
        <v>5</v>
      </c>
      <c r="I215" s="192" t="s">
        <v>368</v>
      </c>
      <c r="J215" s="76"/>
      <c r="K215" s="76"/>
    </row>
    <row r="216" spans="1:11">
      <c r="A216" s="77" t="s">
        <v>157</v>
      </c>
      <c r="B216" s="79" t="s">
        <v>155</v>
      </c>
      <c r="C216" s="206">
        <v>3</v>
      </c>
      <c r="D216" s="138" t="s">
        <v>403</v>
      </c>
      <c r="E216" s="4">
        <v>0</v>
      </c>
      <c r="F216" s="211" t="s">
        <v>291</v>
      </c>
      <c r="G216" s="76">
        <v>12</v>
      </c>
      <c r="H216" s="76">
        <f t="shared" si="18"/>
        <v>17</v>
      </c>
      <c r="I216" s="75" t="s">
        <v>369</v>
      </c>
      <c r="J216" s="85"/>
      <c r="K216" s="76"/>
    </row>
    <row r="217" spans="1:11">
      <c r="A217" s="77" t="s">
        <v>157</v>
      </c>
      <c r="B217" s="79" t="s">
        <v>155</v>
      </c>
      <c r="C217" s="205">
        <v>4</v>
      </c>
      <c r="D217" s="138" t="s">
        <v>404</v>
      </c>
      <c r="E217" s="4">
        <v>0</v>
      </c>
      <c r="F217" s="211" t="s">
        <v>291</v>
      </c>
      <c r="G217" s="76">
        <v>6</v>
      </c>
      <c r="H217" s="23">
        <f t="shared" si="18"/>
        <v>23</v>
      </c>
      <c r="I217" s="75"/>
      <c r="J217" s="85"/>
      <c r="K217" s="76"/>
    </row>
    <row r="218" spans="1:11">
      <c r="A218" s="77" t="s">
        <v>157</v>
      </c>
      <c r="B218" s="79" t="s">
        <v>155</v>
      </c>
      <c r="C218" s="205">
        <v>5</v>
      </c>
      <c r="D218" s="138" t="s">
        <v>406</v>
      </c>
      <c r="E218" s="4">
        <v>2</v>
      </c>
      <c r="F218" s="211" t="s">
        <v>312</v>
      </c>
      <c r="G218" s="76">
        <v>9</v>
      </c>
      <c r="H218" s="23">
        <f t="shared" si="18"/>
        <v>32</v>
      </c>
      <c r="I218" s="75" t="s">
        <v>388</v>
      </c>
      <c r="J218" s="85"/>
      <c r="K218" s="76"/>
    </row>
    <row r="219" spans="1:11">
      <c r="A219" s="77" t="s">
        <v>157</v>
      </c>
      <c r="B219" s="79" t="s">
        <v>155</v>
      </c>
      <c r="C219" s="205">
        <v>6</v>
      </c>
      <c r="D219" s="138" t="s">
        <v>407</v>
      </c>
      <c r="E219" s="4">
        <v>2</v>
      </c>
      <c r="F219" s="211" t="s">
        <v>312</v>
      </c>
      <c r="G219" s="76">
        <v>9</v>
      </c>
      <c r="H219" s="23">
        <f t="shared" si="18"/>
        <v>41</v>
      </c>
      <c r="I219" s="75" t="s">
        <v>388</v>
      </c>
      <c r="J219" s="85"/>
      <c r="K219" s="76"/>
    </row>
    <row r="220" spans="1:11">
      <c r="A220" s="77" t="s">
        <v>157</v>
      </c>
      <c r="B220" s="79" t="s">
        <v>155</v>
      </c>
      <c r="C220" s="205">
        <v>7</v>
      </c>
      <c r="D220" s="138" t="s">
        <v>320</v>
      </c>
      <c r="E220" s="4">
        <v>0</v>
      </c>
      <c r="F220" s="211" t="s">
        <v>291</v>
      </c>
      <c r="G220" s="76" t="s">
        <v>496</v>
      </c>
      <c r="H220" s="23">
        <f t="shared" si="18"/>
        <v>69</v>
      </c>
      <c r="I220" s="75" t="s">
        <v>321</v>
      </c>
      <c r="J220" s="85"/>
      <c r="K220" s="76"/>
    </row>
    <row r="221" spans="1:11">
      <c r="A221" s="77" t="s">
        <v>157</v>
      </c>
      <c r="B221" s="80" t="s">
        <v>155</v>
      </c>
      <c r="C221" s="149">
        <v>8</v>
      </c>
      <c r="D221" s="139" t="s">
        <v>298</v>
      </c>
      <c r="E221" s="73">
        <v>0</v>
      </c>
      <c r="F221" s="215" t="s">
        <v>291</v>
      </c>
      <c r="G221" s="74">
        <v>1</v>
      </c>
      <c r="H221" s="74">
        <f t="shared" si="18"/>
        <v>70</v>
      </c>
      <c r="I221" s="36" t="s">
        <v>299</v>
      </c>
      <c r="J221" s="74"/>
      <c r="K221" s="74"/>
    </row>
    <row r="222" spans="1:11">
      <c r="A222" s="77" t="s">
        <v>497</v>
      </c>
      <c r="B222" s="79" t="s">
        <v>167</v>
      </c>
      <c r="C222" s="76">
        <v>1</v>
      </c>
      <c r="D222" s="75" t="s">
        <v>290</v>
      </c>
      <c r="E222" s="76">
        <v>0</v>
      </c>
      <c r="F222" s="210" t="s">
        <v>291</v>
      </c>
      <c r="G222" s="76">
        <v>2</v>
      </c>
      <c r="H222" s="76">
        <v>2</v>
      </c>
      <c r="I222" s="75" t="s">
        <v>498</v>
      </c>
      <c r="J222" s="76"/>
      <c r="K222" s="76"/>
    </row>
    <row r="223" spans="1:11">
      <c r="A223" s="188" t="s">
        <v>169</v>
      </c>
      <c r="B223" s="189" t="s">
        <v>167</v>
      </c>
      <c r="C223" s="191">
        <v>2</v>
      </c>
      <c r="D223" s="184" t="s">
        <v>302</v>
      </c>
      <c r="E223" s="191">
        <v>0</v>
      </c>
      <c r="F223" s="214" t="s">
        <v>291</v>
      </c>
      <c r="G223" s="191">
        <v>3</v>
      </c>
      <c r="H223" s="191">
        <f t="shared" ref="H223:H231" si="19">H222+G223</f>
        <v>5</v>
      </c>
      <c r="I223" s="192" t="s">
        <v>368</v>
      </c>
      <c r="J223" s="76"/>
      <c r="K223" s="76"/>
    </row>
    <row r="224" spans="1:11">
      <c r="A224" s="77" t="s">
        <v>169</v>
      </c>
      <c r="B224" s="79" t="s">
        <v>167</v>
      </c>
      <c r="C224" s="85">
        <v>3</v>
      </c>
      <c r="D224" s="138" t="s">
        <v>403</v>
      </c>
      <c r="E224" s="4">
        <v>0</v>
      </c>
      <c r="F224" s="211" t="s">
        <v>291</v>
      </c>
      <c r="G224" s="76">
        <v>12</v>
      </c>
      <c r="H224" s="76">
        <f t="shared" si="19"/>
        <v>17</v>
      </c>
      <c r="I224" s="75" t="s">
        <v>499</v>
      </c>
      <c r="J224" s="85"/>
      <c r="K224" s="76"/>
    </row>
    <row r="225" spans="1:11">
      <c r="A225" s="77" t="s">
        <v>169</v>
      </c>
      <c r="B225" s="79" t="s">
        <v>167</v>
      </c>
      <c r="C225" s="85">
        <v>4</v>
      </c>
      <c r="D225" s="138" t="s">
        <v>306</v>
      </c>
      <c r="E225" s="4">
        <v>0</v>
      </c>
      <c r="F225" s="211" t="s">
        <v>307</v>
      </c>
      <c r="G225" s="76">
        <v>8</v>
      </c>
      <c r="H225" s="23">
        <f t="shared" si="19"/>
        <v>25</v>
      </c>
      <c r="I225" s="75" t="s">
        <v>439</v>
      </c>
      <c r="J225" s="85"/>
      <c r="K225" s="76"/>
    </row>
    <row r="226" spans="1:11">
      <c r="A226" s="77" t="s">
        <v>169</v>
      </c>
      <c r="B226" s="79" t="s">
        <v>167</v>
      </c>
      <c r="C226" s="85">
        <v>5</v>
      </c>
      <c r="D226" s="138" t="s">
        <v>414</v>
      </c>
      <c r="E226" s="4">
        <v>0</v>
      </c>
      <c r="F226" s="211" t="s">
        <v>291</v>
      </c>
      <c r="G226" s="76">
        <v>8</v>
      </c>
      <c r="H226" s="23">
        <f t="shared" si="19"/>
        <v>33</v>
      </c>
      <c r="I226" s="75" t="s">
        <v>440</v>
      </c>
      <c r="J226" s="85"/>
      <c r="K226" s="76"/>
    </row>
    <row r="227" spans="1:11">
      <c r="A227" s="77" t="s">
        <v>169</v>
      </c>
      <c r="B227" s="79" t="s">
        <v>167</v>
      </c>
      <c r="C227" s="85">
        <v>6</v>
      </c>
      <c r="D227" s="138" t="s">
        <v>441</v>
      </c>
      <c r="E227" s="4">
        <v>2</v>
      </c>
      <c r="F227" s="211" t="s">
        <v>312</v>
      </c>
      <c r="G227" s="76">
        <v>9</v>
      </c>
      <c r="H227" s="23">
        <f t="shared" si="19"/>
        <v>42</v>
      </c>
      <c r="I227" s="75" t="s">
        <v>442</v>
      </c>
      <c r="J227" s="85"/>
      <c r="K227" s="76"/>
    </row>
    <row r="228" spans="1:11">
      <c r="A228" s="77" t="s">
        <v>169</v>
      </c>
      <c r="B228" s="79" t="s">
        <v>167</v>
      </c>
      <c r="C228" s="85">
        <v>7</v>
      </c>
      <c r="D228" s="138" t="s">
        <v>443</v>
      </c>
      <c r="E228" s="4">
        <v>0</v>
      </c>
      <c r="F228" s="211" t="s">
        <v>291</v>
      </c>
      <c r="G228" s="76">
        <v>1</v>
      </c>
      <c r="H228" s="23">
        <f t="shared" si="19"/>
        <v>43</v>
      </c>
      <c r="I228" s="75" t="s">
        <v>444</v>
      </c>
      <c r="J228" s="85"/>
      <c r="K228" s="76"/>
    </row>
    <row r="229" spans="1:11">
      <c r="A229" s="77" t="s">
        <v>169</v>
      </c>
      <c r="B229" s="79" t="s">
        <v>167</v>
      </c>
      <c r="C229" s="85">
        <v>8</v>
      </c>
      <c r="D229" s="138" t="s">
        <v>445</v>
      </c>
      <c r="E229" s="4">
        <v>2</v>
      </c>
      <c r="F229" s="211" t="s">
        <v>312</v>
      </c>
      <c r="G229" s="76">
        <v>9</v>
      </c>
      <c r="H229" s="23">
        <f t="shared" si="19"/>
        <v>52</v>
      </c>
      <c r="I229" s="75" t="s">
        <v>442</v>
      </c>
      <c r="J229" s="85"/>
      <c r="K229" s="76"/>
    </row>
    <row r="230" spans="1:11">
      <c r="A230" s="77" t="s">
        <v>169</v>
      </c>
      <c r="B230" s="79" t="s">
        <v>167</v>
      </c>
      <c r="C230" s="85">
        <v>9</v>
      </c>
      <c r="D230" s="138" t="s">
        <v>320</v>
      </c>
      <c r="E230" s="4">
        <v>0</v>
      </c>
      <c r="F230" s="211" t="s">
        <v>291</v>
      </c>
      <c r="G230" s="76">
        <v>7</v>
      </c>
      <c r="H230" s="23">
        <f t="shared" si="19"/>
        <v>59</v>
      </c>
      <c r="I230" s="75" t="s">
        <v>321</v>
      </c>
      <c r="J230" s="85"/>
      <c r="K230" s="76"/>
    </row>
    <row r="231" spans="1:11">
      <c r="A231" s="77" t="s">
        <v>169</v>
      </c>
      <c r="B231" s="80" t="s">
        <v>167</v>
      </c>
      <c r="C231" s="149">
        <v>10</v>
      </c>
      <c r="D231" s="139" t="s">
        <v>298</v>
      </c>
      <c r="E231" s="73">
        <v>0</v>
      </c>
      <c r="F231" s="215" t="s">
        <v>291</v>
      </c>
      <c r="G231" s="74">
        <v>1</v>
      </c>
      <c r="H231" s="74">
        <f t="shared" si="19"/>
        <v>60</v>
      </c>
      <c r="I231" s="36" t="s">
        <v>299</v>
      </c>
      <c r="J231" s="74"/>
      <c r="K231" s="74"/>
    </row>
    <row r="232" spans="1:11">
      <c r="A232" s="77" t="s">
        <v>500</v>
      </c>
      <c r="B232" s="79" t="s">
        <v>501</v>
      </c>
      <c r="C232" s="76">
        <v>1</v>
      </c>
      <c r="D232" s="138" t="s">
        <v>290</v>
      </c>
      <c r="E232" s="78">
        <v>0</v>
      </c>
      <c r="F232" s="210" t="s">
        <v>291</v>
      </c>
      <c r="G232" s="76">
        <v>2</v>
      </c>
      <c r="H232" s="76">
        <v>2</v>
      </c>
      <c r="I232" s="75" t="s">
        <v>502</v>
      </c>
      <c r="J232" s="76"/>
      <c r="K232" s="76"/>
    </row>
    <row r="233" spans="1:11">
      <c r="A233" s="188" t="s">
        <v>253</v>
      </c>
      <c r="B233" s="189" t="s">
        <v>501</v>
      </c>
      <c r="C233" s="191">
        <v>2</v>
      </c>
      <c r="D233" s="184" t="s">
        <v>302</v>
      </c>
      <c r="E233" s="198">
        <v>0</v>
      </c>
      <c r="F233" s="214" t="s">
        <v>291</v>
      </c>
      <c r="G233" s="191">
        <v>3</v>
      </c>
      <c r="H233" s="193">
        <f t="shared" ref="H233:H253" si="20">H232+G233</f>
        <v>5</v>
      </c>
      <c r="I233" s="187" t="s">
        <v>503</v>
      </c>
      <c r="J233" s="85"/>
      <c r="K233" s="76"/>
    </row>
    <row r="234" spans="1:11">
      <c r="A234" s="77" t="s">
        <v>253</v>
      </c>
      <c r="B234" s="79" t="s">
        <v>501</v>
      </c>
      <c r="C234" s="206">
        <v>3</v>
      </c>
      <c r="D234" s="138" t="s">
        <v>304</v>
      </c>
      <c r="E234" s="4">
        <v>0</v>
      </c>
      <c r="F234" s="211" t="s">
        <v>291</v>
      </c>
      <c r="G234" s="76">
        <v>12</v>
      </c>
      <c r="H234" s="85">
        <f t="shared" si="20"/>
        <v>17</v>
      </c>
      <c r="I234" s="75" t="s">
        <v>504</v>
      </c>
      <c r="J234" s="85"/>
      <c r="K234" s="76"/>
    </row>
    <row r="235" spans="1:11">
      <c r="A235" s="77" t="s">
        <v>253</v>
      </c>
      <c r="B235" s="79" t="s">
        <v>501</v>
      </c>
      <c r="C235" s="205">
        <v>4</v>
      </c>
      <c r="D235" s="138" t="s">
        <v>505</v>
      </c>
      <c r="E235" s="4">
        <v>0</v>
      </c>
      <c r="F235" s="211" t="s">
        <v>291</v>
      </c>
      <c r="G235" s="76">
        <v>2</v>
      </c>
      <c r="H235" s="23">
        <f t="shared" si="20"/>
        <v>19</v>
      </c>
      <c r="I235" s="75" t="s">
        <v>506</v>
      </c>
      <c r="J235" s="85"/>
      <c r="K235" s="76"/>
    </row>
    <row r="236" spans="1:11">
      <c r="A236" s="77" t="s">
        <v>253</v>
      </c>
      <c r="B236" s="79" t="s">
        <v>501</v>
      </c>
      <c r="C236" s="205">
        <v>5</v>
      </c>
      <c r="D236" s="138" t="s">
        <v>320</v>
      </c>
      <c r="E236" s="4">
        <v>0</v>
      </c>
      <c r="F236" s="211" t="s">
        <v>291</v>
      </c>
      <c r="G236" s="76">
        <v>1</v>
      </c>
      <c r="H236" s="23">
        <f t="shared" si="20"/>
        <v>20</v>
      </c>
      <c r="I236" s="75" t="s">
        <v>507</v>
      </c>
      <c r="J236" s="85"/>
      <c r="K236" s="76"/>
    </row>
    <row r="237" spans="1:11">
      <c r="A237" s="77" t="s">
        <v>253</v>
      </c>
      <c r="B237" s="79" t="s">
        <v>501</v>
      </c>
      <c r="C237" s="205">
        <v>6</v>
      </c>
      <c r="D237" s="138" t="s">
        <v>306</v>
      </c>
      <c r="E237" s="4">
        <v>0</v>
      </c>
      <c r="F237" s="211" t="s">
        <v>307</v>
      </c>
      <c r="G237" s="76">
        <v>8</v>
      </c>
      <c r="H237" s="23">
        <f t="shared" si="20"/>
        <v>28</v>
      </c>
      <c r="I237" s="75" t="s">
        <v>380</v>
      </c>
      <c r="J237" s="85"/>
      <c r="K237" s="76"/>
    </row>
    <row r="238" spans="1:11">
      <c r="A238" s="77" t="s">
        <v>253</v>
      </c>
      <c r="B238" s="79" t="s">
        <v>501</v>
      </c>
      <c r="C238" s="205">
        <v>7</v>
      </c>
      <c r="D238" s="138" t="s">
        <v>508</v>
      </c>
      <c r="E238" s="4">
        <v>0</v>
      </c>
      <c r="F238" s="211" t="s">
        <v>307</v>
      </c>
      <c r="G238" s="76">
        <v>8</v>
      </c>
      <c r="H238" s="23">
        <f t="shared" si="20"/>
        <v>36</v>
      </c>
      <c r="I238" s="75" t="s">
        <v>509</v>
      </c>
      <c r="J238" s="85"/>
      <c r="K238" s="76"/>
    </row>
    <row r="239" spans="1:11">
      <c r="A239" s="77" t="s">
        <v>253</v>
      </c>
      <c r="B239" s="79" t="s">
        <v>501</v>
      </c>
      <c r="C239" s="205">
        <v>8</v>
      </c>
      <c r="D239" s="138" t="s">
        <v>510</v>
      </c>
      <c r="E239" s="4">
        <v>0</v>
      </c>
      <c r="F239" s="211" t="s">
        <v>291</v>
      </c>
      <c r="G239" s="76">
        <v>1</v>
      </c>
      <c r="H239" s="23">
        <f t="shared" si="20"/>
        <v>37</v>
      </c>
      <c r="I239" s="75" t="s">
        <v>511</v>
      </c>
      <c r="J239" s="85"/>
      <c r="K239" s="76"/>
    </row>
    <row r="240" spans="1:11">
      <c r="A240" s="77" t="s">
        <v>253</v>
      </c>
      <c r="B240" s="79" t="s">
        <v>501</v>
      </c>
      <c r="C240" s="205">
        <v>9</v>
      </c>
      <c r="D240" s="138" t="s">
        <v>512</v>
      </c>
      <c r="E240" s="4">
        <v>0</v>
      </c>
      <c r="F240" s="211" t="s">
        <v>307</v>
      </c>
      <c r="G240" s="76">
        <v>8</v>
      </c>
      <c r="H240" s="23">
        <f t="shared" si="20"/>
        <v>45</v>
      </c>
      <c r="I240" s="75" t="s">
        <v>513</v>
      </c>
      <c r="J240" s="85"/>
      <c r="K240" s="76"/>
    </row>
    <row r="241" spans="1:11">
      <c r="A241" s="77" t="s">
        <v>253</v>
      </c>
      <c r="B241" s="79" t="s">
        <v>501</v>
      </c>
      <c r="C241" s="205">
        <v>10</v>
      </c>
      <c r="D241" s="138" t="s">
        <v>514</v>
      </c>
      <c r="E241" s="4">
        <v>0</v>
      </c>
      <c r="F241" s="211" t="s">
        <v>291</v>
      </c>
      <c r="G241" s="76">
        <v>8</v>
      </c>
      <c r="H241" s="23">
        <f t="shared" si="20"/>
        <v>53</v>
      </c>
      <c r="I241" s="75" t="s">
        <v>310</v>
      </c>
      <c r="J241" s="85"/>
      <c r="K241" s="76"/>
    </row>
    <row r="242" spans="1:11">
      <c r="A242" s="77" t="s">
        <v>253</v>
      </c>
      <c r="B242" s="79" t="s">
        <v>501</v>
      </c>
      <c r="C242" s="205">
        <v>11</v>
      </c>
      <c r="D242" s="138" t="s">
        <v>515</v>
      </c>
      <c r="E242" s="4">
        <v>0</v>
      </c>
      <c r="F242" s="211" t="s">
        <v>291</v>
      </c>
      <c r="G242" s="76">
        <v>6</v>
      </c>
      <c r="H242" s="23">
        <f t="shared" si="20"/>
        <v>59</v>
      </c>
      <c r="I242" s="75" t="s">
        <v>516</v>
      </c>
      <c r="J242" s="85"/>
      <c r="K242" s="76"/>
    </row>
    <row r="243" spans="1:11">
      <c r="A243" s="77" t="s">
        <v>253</v>
      </c>
      <c r="B243" s="79" t="s">
        <v>501</v>
      </c>
      <c r="C243" s="205">
        <v>12</v>
      </c>
      <c r="D243" s="138" t="s">
        <v>517</v>
      </c>
      <c r="E243" s="4">
        <v>0</v>
      </c>
      <c r="F243" s="211" t="s">
        <v>291</v>
      </c>
      <c r="G243" s="76">
        <v>40</v>
      </c>
      <c r="H243" s="23">
        <f t="shared" si="20"/>
        <v>99</v>
      </c>
      <c r="I243" s="75" t="s">
        <v>518</v>
      </c>
      <c r="J243" s="85"/>
      <c r="K243" s="76"/>
    </row>
    <row r="244" spans="1:11">
      <c r="A244" s="77" t="s">
        <v>253</v>
      </c>
      <c r="B244" s="79" t="s">
        <v>501</v>
      </c>
      <c r="C244" s="205">
        <v>13</v>
      </c>
      <c r="D244" s="138" t="s">
        <v>4</v>
      </c>
      <c r="E244" s="4">
        <v>0</v>
      </c>
      <c r="F244" s="211" t="s">
        <v>291</v>
      </c>
      <c r="G244" s="76">
        <v>1</v>
      </c>
      <c r="H244" s="23">
        <f t="shared" si="20"/>
        <v>100</v>
      </c>
      <c r="I244" s="75" t="s">
        <v>519</v>
      </c>
      <c r="J244" s="85"/>
      <c r="K244" s="76"/>
    </row>
    <row r="245" spans="1:11">
      <c r="A245" s="77" t="s">
        <v>253</v>
      </c>
      <c r="B245" s="79" t="s">
        <v>501</v>
      </c>
      <c r="C245" s="205">
        <v>14</v>
      </c>
      <c r="D245" s="138" t="s">
        <v>520</v>
      </c>
      <c r="E245" s="4">
        <v>0</v>
      </c>
      <c r="F245" s="211" t="s">
        <v>291</v>
      </c>
      <c r="G245" s="76">
        <v>1</v>
      </c>
      <c r="H245" s="23">
        <f t="shared" si="20"/>
        <v>101</v>
      </c>
      <c r="I245" s="75" t="s">
        <v>521</v>
      </c>
      <c r="J245" s="85"/>
      <c r="K245" s="76"/>
    </row>
    <row r="246" spans="1:11">
      <c r="A246" s="77" t="s">
        <v>253</v>
      </c>
      <c r="B246" s="79" t="s">
        <v>501</v>
      </c>
      <c r="C246" s="205">
        <v>15</v>
      </c>
      <c r="D246" s="138" t="s">
        <v>522</v>
      </c>
      <c r="E246" s="4">
        <v>5</v>
      </c>
      <c r="F246" s="211" t="s">
        <v>312</v>
      </c>
      <c r="G246" s="76">
        <v>8</v>
      </c>
      <c r="H246" s="23">
        <f t="shared" si="20"/>
        <v>109</v>
      </c>
      <c r="I246" s="75" t="s">
        <v>523</v>
      </c>
      <c r="J246" s="85"/>
      <c r="K246" s="76"/>
    </row>
    <row r="247" spans="1:11">
      <c r="A247" s="77" t="s">
        <v>253</v>
      </c>
      <c r="B247" s="79" t="s">
        <v>501</v>
      </c>
      <c r="C247" s="205">
        <v>16</v>
      </c>
      <c r="D247" s="138" t="s">
        <v>524</v>
      </c>
      <c r="E247" s="4">
        <v>3</v>
      </c>
      <c r="F247" s="211" t="s">
        <v>312</v>
      </c>
      <c r="G247" s="76">
        <v>8</v>
      </c>
      <c r="H247" s="23">
        <f t="shared" si="20"/>
        <v>117</v>
      </c>
      <c r="I247" s="75" t="s">
        <v>525</v>
      </c>
      <c r="J247" s="85"/>
      <c r="K247" s="76"/>
    </row>
    <row r="248" spans="1:11">
      <c r="A248" s="77" t="s">
        <v>253</v>
      </c>
      <c r="B248" s="79" t="s">
        <v>501</v>
      </c>
      <c r="C248" s="205">
        <v>17</v>
      </c>
      <c r="D248" s="138" t="s">
        <v>526</v>
      </c>
      <c r="E248" s="4">
        <v>0</v>
      </c>
      <c r="F248" s="211" t="s">
        <v>291</v>
      </c>
      <c r="G248" s="76">
        <v>1</v>
      </c>
      <c r="H248" s="23">
        <f t="shared" si="20"/>
        <v>118</v>
      </c>
      <c r="I248" s="75" t="s">
        <v>527</v>
      </c>
      <c r="J248" s="85"/>
      <c r="K248" s="76"/>
    </row>
    <row r="249" spans="1:11">
      <c r="A249" s="77" t="s">
        <v>253</v>
      </c>
      <c r="B249" s="79" t="s">
        <v>501</v>
      </c>
      <c r="C249" s="205">
        <v>18</v>
      </c>
      <c r="D249" s="138" t="s">
        <v>528</v>
      </c>
      <c r="E249" s="4">
        <v>0</v>
      </c>
      <c r="F249" s="211" t="s">
        <v>291</v>
      </c>
      <c r="G249" s="76">
        <v>16</v>
      </c>
      <c r="H249" s="23">
        <f t="shared" si="20"/>
        <v>134</v>
      </c>
      <c r="I249" s="75" t="s">
        <v>529</v>
      </c>
      <c r="J249" s="85"/>
      <c r="K249" s="76"/>
    </row>
    <row r="250" spans="1:11">
      <c r="A250" s="77" t="s">
        <v>253</v>
      </c>
      <c r="B250" s="79" t="s">
        <v>501</v>
      </c>
      <c r="C250" s="205">
        <v>19</v>
      </c>
      <c r="D250" s="138" t="s">
        <v>530</v>
      </c>
      <c r="E250" s="4">
        <v>0</v>
      </c>
      <c r="F250" s="211" t="s">
        <v>291</v>
      </c>
      <c r="G250" s="76">
        <v>2</v>
      </c>
      <c r="H250" s="23">
        <f t="shared" si="20"/>
        <v>136</v>
      </c>
      <c r="I250" s="75" t="s">
        <v>531</v>
      </c>
      <c r="J250" s="85"/>
      <c r="K250" s="76"/>
    </row>
    <row r="251" spans="1:11">
      <c r="A251" s="77" t="s">
        <v>253</v>
      </c>
      <c r="B251" s="79" t="s">
        <v>501</v>
      </c>
      <c r="C251" s="205">
        <v>20</v>
      </c>
      <c r="D251" s="138" t="s">
        <v>532</v>
      </c>
      <c r="E251" s="4">
        <v>0</v>
      </c>
      <c r="F251" s="211" t="s">
        <v>291</v>
      </c>
      <c r="G251" s="76">
        <v>2</v>
      </c>
      <c r="H251" s="23">
        <f t="shared" si="20"/>
        <v>138</v>
      </c>
      <c r="I251" s="75" t="s">
        <v>533</v>
      </c>
      <c r="J251" s="85"/>
      <c r="K251" s="76"/>
    </row>
    <row r="252" spans="1:11">
      <c r="A252" s="77" t="s">
        <v>253</v>
      </c>
      <c r="B252" s="79" t="s">
        <v>501</v>
      </c>
      <c r="C252" s="205">
        <v>21</v>
      </c>
      <c r="D252" s="138" t="s">
        <v>320</v>
      </c>
      <c r="E252" s="4">
        <v>0</v>
      </c>
      <c r="F252" s="211" t="s">
        <v>291</v>
      </c>
      <c r="G252" s="76">
        <v>11</v>
      </c>
      <c r="H252" s="23">
        <f t="shared" si="20"/>
        <v>149</v>
      </c>
      <c r="I252" s="75" t="s">
        <v>321</v>
      </c>
      <c r="J252" s="85"/>
      <c r="K252" s="76"/>
    </row>
    <row r="253" spans="1:11">
      <c r="A253" s="77" t="s">
        <v>253</v>
      </c>
      <c r="B253" s="80" t="s">
        <v>501</v>
      </c>
      <c r="C253" s="149">
        <v>22</v>
      </c>
      <c r="D253" s="139" t="s">
        <v>298</v>
      </c>
      <c r="E253" s="73">
        <v>0</v>
      </c>
      <c r="F253" s="215" t="s">
        <v>291</v>
      </c>
      <c r="G253" s="74">
        <v>1</v>
      </c>
      <c r="H253" s="74">
        <f t="shared" si="20"/>
        <v>150</v>
      </c>
      <c r="I253" s="36" t="s">
        <v>299</v>
      </c>
      <c r="J253" s="74"/>
      <c r="K253" s="74"/>
    </row>
    <row r="254" spans="1:11">
      <c r="A254" s="77" t="s">
        <v>534</v>
      </c>
      <c r="B254" s="79" t="s">
        <v>194</v>
      </c>
      <c r="C254" s="76">
        <v>1</v>
      </c>
      <c r="D254" s="75" t="s">
        <v>290</v>
      </c>
      <c r="E254" s="76">
        <v>0</v>
      </c>
      <c r="F254" s="210" t="s">
        <v>291</v>
      </c>
      <c r="G254" s="76">
        <v>2</v>
      </c>
      <c r="H254" s="76">
        <v>2</v>
      </c>
      <c r="I254" s="75" t="s">
        <v>535</v>
      </c>
      <c r="J254" s="76"/>
      <c r="K254" s="76"/>
    </row>
    <row r="255" spans="1:11">
      <c r="A255" s="188" t="s">
        <v>196</v>
      </c>
      <c r="B255" s="189" t="s">
        <v>194</v>
      </c>
      <c r="C255" s="191">
        <v>2</v>
      </c>
      <c r="D255" s="184" t="s">
        <v>302</v>
      </c>
      <c r="E255" s="191">
        <v>0</v>
      </c>
      <c r="F255" s="214" t="s">
        <v>291</v>
      </c>
      <c r="G255" s="191">
        <v>3</v>
      </c>
      <c r="H255" s="191">
        <f t="shared" ref="H255:H265" si="21">H254+G255</f>
        <v>5</v>
      </c>
      <c r="I255" s="192" t="s">
        <v>536</v>
      </c>
      <c r="J255" s="76"/>
      <c r="K255" s="76"/>
    </row>
    <row r="256" spans="1:11">
      <c r="A256" s="77" t="s">
        <v>196</v>
      </c>
      <c r="B256" s="79" t="s">
        <v>194</v>
      </c>
      <c r="C256" s="85">
        <v>3</v>
      </c>
      <c r="D256" s="75" t="s">
        <v>537</v>
      </c>
      <c r="E256" s="76">
        <v>0</v>
      </c>
      <c r="F256" s="211" t="s">
        <v>291</v>
      </c>
      <c r="G256" s="76">
        <v>6</v>
      </c>
      <c r="H256" s="76">
        <f t="shared" si="21"/>
        <v>11</v>
      </c>
      <c r="I256" s="75" t="s">
        <v>538</v>
      </c>
      <c r="J256" s="76"/>
      <c r="K256" s="76"/>
    </row>
    <row r="257" spans="1:11">
      <c r="A257" s="77" t="s">
        <v>196</v>
      </c>
      <c r="B257" s="79" t="s">
        <v>194</v>
      </c>
      <c r="C257" s="85">
        <v>4</v>
      </c>
      <c r="D257" s="75" t="s">
        <v>539</v>
      </c>
      <c r="E257" s="76">
        <v>0</v>
      </c>
      <c r="F257" s="211" t="s">
        <v>291</v>
      </c>
      <c r="G257" s="76">
        <v>12</v>
      </c>
      <c r="H257" s="76">
        <f t="shared" si="21"/>
        <v>23</v>
      </c>
      <c r="I257" s="75" t="s">
        <v>321</v>
      </c>
      <c r="J257" s="76"/>
      <c r="K257" s="76"/>
    </row>
    <row r="258" spans="1:11">
      <c r="A258" s="77" t="s">
        <v>196</v>
      </c>
      <c r="B258" s="79" t="s">
        <v>194</v>
      </c>
      <c r="C258" s="85">
        <v>5</v>
      </c>
      <c r="D258" s="75" t="s">
        <v>540</v>
      </c>
      <c r="E258" s="76">
        <v>0</v>
      </c>
      <c r="F258" s="211" t="s">
        <v>291</v>
      </c>
      <c r="G258" s="76">
        <v>6</v>
      </c>
      <c r="H258" s="76">
        <f t="shared" si="21"/>
        <v>29</v>
      </c>
      <c r="I258" s="75" t="s">
        <v>541</v>
      </c>
      <c r="J258" s="76"/>
      <c r="K258" s="76"/>
    </row>
    <row r="259" spans="1:11">
      <c r="A259" s="77" t="s">
        <v>196</v>
      </c>
      <c r="B259" s="79" t="s">
        <v>194</v>
      </c>
      <c r="C259" s="85">
        <v>6</v>
      </c>
      <c r="D259" s="75" t="s">
        <v>542</v>
      </c>
      <c r="E259" s="76">
        <v>0</v>
      </c>
      <c r="F259" s="211" t="s">
        <v>312</v>
      </c>
      <c r="G259" s="76">
        <v>9</v>
      </c>
      <c r="H259" s="76">
        <f t="shared" si="21"/>
        <v>38</v>
      </c>
      <c r="I259" s="75" t="s">
        <v>543</v>
      </c>
      <c r="J259" s="76"/>
      <c r="K259" s="76"/>
    </row>
    <row r="260" spans="1:11">
      <c r="A260" s="77" t="s">
        <v>196</v>
      </c>
      <c r="B260" s="79" t="s">
        <v>194</v>
      </c>
      <c r="C260" s="20">
        <v>7</v>
      </c>
      <c r="D260" s="75" t="s">
        <v>544</v>
      </c>
      <c r="E260" s="76">
        <v>0</v>
      </c>
      <c r="F260" s="211" t="s">
        <v>291</v>
      </c>
      <c r="G260" s="76">
        <v>1</v>
      </c>
      <c r="H260" s="76">
        <f t="shared" si="21"/>
        <v>39</v>
      </c>
      <c r="I260" s="75" t="s">
        <v>545</v>
      </c>
      <c r="J260" s="76"/>
      <c r="K260" s="76"/>
    </row>
    <row r="261" spans="1:11">
      <c r="A261" s="77" t="s">
        <v>196</v>
      </c>
      <c r="B261" s="79" t="s">
        <v>194</v>
      </c>
      <c r="C261" s="20">
        <v>8</v>
      </c>
      <c r="D261" s="75" t="s">
        <v>546</v>
      </c>
      <c r="E261" s="76">
        <v>2</v>
      </c>
      <c r="F261" s="211" t="s">
        <v>312</v>
      </c>
      <c r="G261" s="76">
        <v>9</v>
      </c>
      <c r="H261" s="76">
        <f t="shared" si="21"/>
        <v>48</v>
      </c>
      <c r="I261" s="75" t="s">
        <v>547</v>
      </c>
      <c r="J261" s="76"/>
      <c r="K261" s="76"/>
    </row>
    <row r="262" spans="1:11">
      <c r="A262" s="77" t="s">
        <v>196</v>
      </c>
      <c r="B262" s="79" t="s">
        <v>194</v>
      </c>
      <c r="C262" s="20">
        <v>9</v>
      </c>
      <c r="D262" s="75" t="s">
        <v>548</v>
      </c>
      <c r="E262" s="76">
        <v>0</v>
      </c>
      <c r="F262" s="211" t="s">
        <v>307</v>
      </c>
      <c r="G262" s="76">
        <v>12</v>
      </c>
      <c r="H262" s="76">
        <f t="shared" si="21"/>
        <v>60</v>
      </c>
      <c r="I262" s="75" t="s">
        <v>549</v>
      </c>
      <c r="J262" s="76"/>
      <c r="K262" s="76"/>
    </row>
    <row r="263" spans="1:11">
      <c r="A263" s="77" t="s">
        <v>196</v>
      </c>
      <c r="B263" s="79" t="s">
        <v>194</v>
      </c>
      <c r="C263" s="20">
        <v>10</v>
      </c>
      <c r="D263" s="75" t="s">
        <v>550</v>
      </c>
      <c r="E263" s="76">
        <v>0</v>
      </c>
      <c r="F263" s="211" t="s">
        <v>307</v>
      </c>
      <c r="G263" s="76">
        <v>12</v>
      </c>
      <c r="H263" s="76">
        <f t="shared" si="21"/>
        <v>72</v>
      </c>
      <c r="I263" s="75" t="s">
        <v>551</v>
      </c>
      <c r="J263" s="76"/>
      <c r="K263" s="76"/>
    </row>
    <row r="264" spans="1:11">
      <c r="A264" s="77" t="s">
        <v>196</v>
      </c>
      <c r="B264" s="79" t="s">
        <v>194</v>
      </c>
      <c r="C264" s="20">
        <v>11</v>
      </c>
      <c r="D264" s="86" t="s">
        <v>320</v>
      </c>
      <c r="E264" s="85">
        <v>0</v>
      </c>
      <c r="F264" s="211" t="s">
        <v>291</v>
      </c>
      <c r="G264" s="85">
        <v>4</v>
      </c>
      <c r="H264" s="85">
        <f t="shared" si="21"/>
        <v>76</v>
      </c>
      <c r="I264" s="86"/>
      <c r="J264" s="85"/>
      <c r="K264" s="85"/>
    </row>
    <row r="265" spans="1:11">
      <c r="A265" s="77" t="s">
        <v>196</v>
      </c>
      <c r="B265" s="80" t="s">
        <v>194</v>
      </c>
      <c r="C265" s="74">
        <v>12</v>
      </c>
      <c r="D265" s="36" t="s">
        <v>298</v>
      </c>
      <c r="E265" s="74">
        <v>0</v>
      </c>
      <c r="F265" s="215" t="s">
        <v>291</v>
      </c>
      <c r="G265" s="74">
        <v>1</v>
      </c>
      <c r="H265" s="74">
        <f t="shared" si="21"/>
        <v>77</v>
      </c>
      <c r="I265" s="36" t="s">
        <v>299</v>
      </c>
      <c r="J265" s="74"/>
      <c r="K265" s="74"/>
    </row>
    <row r="266" spans="1:11">
      <c r="A266" s="77" t="s">
        <v>199</v>
      </c>
      <c r="B266" s="79" t="s">
        <v>552</v>
      </c>
      <c r="C266" s="76">
        <v>1</v>
      </c>
      <c r="D266" s="75" t="s">
        <v>290</v>
      </c>
      <c r="E266" s="76">
        <v>0</v>
      </c>
      <c r="F266" s="210" t="s">
        <v>291</v>
      </c>
      <c r="G266" s="76">
        <v>2</v>
      </c>
      <c r="H266" s="76">
        <v>2</v>
      </c>
      <c r="I266" s="75" t="s">
        <v>535</v>
      </c>
      <c r="J266" s="76"/>
      <c r="K266" s="76"/>
    </row>
    <row r="267" spans="1:11">
      <c r="A267" s="188" t="s">
        <v>199</v>
      </c>
      <c r="B267" s="189" t="s">
        <v>552</v>
      </c>
      <c r="C267" s="191">
        <v>2</v>
      </c>
      <c r="D267" s="184" t="s">
        <v>302</v>
      </c>
      <c r="E267" s="191">
        <v>0</v>
      </c>
      <c r="F267" s="214" t="s">
        <v>291</v>
      </c>
      <c r="G267" s="191">
        <v>3</v>
      </c>
      <c r="H267" s="191">
        <f t="shared" ref="H267:H277" si="22">H266+G267</f>
        <v>5</v>
      </c>
      <c r="I267" s="192" t="s">
        <v>536</v>
      </c>
      <c r="J267" s="76"/>
      <c r="K267" s="76"/>
    </row>
    <row r="268" spans="1:11">
      <c r="A268" s="77" t="s">
        <v>199</v>
      </c>
      <c r="B268" s="79" t="s">
        <v>552</v>
      </c>
      <c r="C268" s="206">
        <v>3</v>
      </c>
      <c r="D268" s="75" t="s">
        <v>537</v>
      </c>
      <c r="E268" s="76">
        <v>0</v>
      </c>
      <c r="F268" s="211" t="s">
        <v>291</v>
      </c>
      <c r="G268" s="76">
        <v>6</v>
      </c>
      <c r="H268" s="76">
        <f t="shared" si="22"/>
        <v>11</v>
      </c>
      <c r="I268" s="75" t="s">
        <v>538</v>
      </c>
      <c r="J268" s="76"/>
      <c r="K268" s="76"/>
    </row>
    <row r="269" spans="1:11">
      <c r="A269" s="77" t="s">
        <v>199</v>
      </c>
      <c r="B269" s="79" t="s">
        <v>552</v>
      </c>
      <c r="C269" s="205">
        <v>4</v>
      </c>
      <c r="D269" s="75" t="s">
        <v>539</v>
      </c>
      <c r="E269" s="76">
        <v>0</v>
      </c>
      <c r="F269" s="211" t="s">
        <v>291</v>
      </c>
      <c r="G269" s="76">
        <v>12</v>
      </c>
      <c r="H269" s="76">
        <f t="shared" si="22"/>
        <v>23</v>
      </c>
      <c r="I269" s="75" t="s">
        <v>321</v>
      </c>
      <c r="J269" s="76"/>
      <c r="K269" s="76"/>
    </row>
    <row r="270" spans="1:11">
      <c r="A270" s="77" t="s">
        <v>199</v>
      </c>
      <c r="B270" s="79" t="s">
        <v>552</v>
      </c>
      <c r="C270" s="205">
        <v>5</v>
      </c>
      <c r="D270" s="75" t="s">
        <v>540</v>
      </c>
      <c r="E270" s="76">
        <v>0</v>
      </c>
      <c r="F270" s="211" t="s">
        <v>291</v>
      </c>
      <c r="G270" s="76">
        <v>6</v>
      </c>
      <c r="H270" s="76">
        <f t="shared" si="22"/>
        <v>29</v>
      </c>
      <c r="I270" s="75" t="s">
        <v>541</v>
      </c>
      <c r="J270" s="76"/>
      <c r="K270" s="76"/>
    </row>
    <row r="271" spans="1:11">
      <c r="A271" s="77" t="s">
        <v>199</v>
      </c>
      <c r="B271" s="79" t="s">
        <v>552</v>
      </c>
      <c r="C271" s="205">
        <v>6</v>
      </c>
      <c r="D271" s="75" t="s">
        <v>542</v>
      </c>
      <c r="E271" s="76">
        <v>0</v>
      </c>
      <c r="F271" s="211" t="s">
        <v>312</v>
      </c>
      <c r="G271" s="76">
        <v>9</v>
      </c>
      <c r="H271" s="76">
        <f t="shared" si="22"/>
        <v>38</v>
      </c>
      <c r="I271" s="75" t="s">
        <v>543</v>
      </c>
      <c r="J271" s="76"/>
      <c r="K271" s="76"/>
    </row>
    <row r="272" spans="1:11">
      <c r="A272" s="77" t="s">
        <v>199</v>
      </c>
      <c r="B272" s="79" t="s">
        <v>552</v>
      </c>
      <c r="C272" s="205">
        <v>7</v>
      </c>
      <c r="D272" s="75" t="s">
        <v>544</v>
      </c>
      <c r="E272" s="76">
        <v>0</v>
      </c>
      <c r="F272" s="211" t="s">
        <v>291</v>
      </c>
      <c r="G272" s="76">
        <v>1</v>
      </c>
      <c r="H272" s="76">
        <f t="shared" si="22"/>
        <v>39</v>
      </c>
      <c r="I272" s="75" t="s">
        <v>545</v>
      </c>
      <c r="J272" s="76"/>
      <c r="K272" s="76"/>
    </row>
    <row r="273" spans="1:11">
      <c r="A273" s="77" t="s">
        <v>199</v>
      </c>
      <c r="B273" s="79" t="s">
        <v>552</v>
      </c>
      <c r="C273" s="205">
        <v>8</v>
      </c>
      <c r="D273" s="75" t="s">
        <v>546</v>
      </c>
      <c r="E273" s="76">
        <v>2</v>
      </c>
      <c r="F273" s="211" t="s">
        <v>312</v>
      </c>
      <c r="G273" s="76">
        <v>9</v>
      </c>
      <c r="H273" s="76">
        <f t="shared" si="22"/>
        <v>48</v>
      </c>
      <c r="I273" s="75" t="s">
        <v>547</v>
      </c>
      <c r="J273" s="76"/>
      <c r="K273" s="76"/>
    </row>
    <row r="274" spans="1:11">
      <c r="A274" s="77" t="s">
        <v>199</v>
      </c>
      <c r="B274" s="79" t="s">
        <v>552</v>
      </c>
      <c r="C274" s="205">
        <v>9</v>
      </c>
      <c r="D274" s="75" t="s">
        <v>548</v>
      </c>
      <c r="E274" s="76">
        <v>0</v>
      </c>
      <c r="F274" s="211" t="s">
        <v>307</v>
      </c>
      <c r="G274" s="76">
        <v>12</v>
      </c>
      <c r="H274" s="76">
        <f t="shared" si="22"/>
        <v>60</v>
      </c>
      <c r="I274" s="75" t="s">
        <v>549</v>
      </c>
      <c r="J274" s="76"/>
      <c r="K274" s="76"/>
    </row>
    <row r="275" spans="1:11">
      <c r="A275" s="77" t="s">
        <v>199</v>
      </c>
      <c r="B275" s="79" t="s">
        <v>552</v>
      </c>
      <c r="C275" s="205">
        <v>10</v>
      </c>
      <c r="D275" s="75" t="s">
        <v>550</v>
      </c>
      <c r="E275" s="76">
        <v>0</v>
      </c>
      <c r="F275" s="211" t="s">
        <v>307</v>
      </c>
      <c r="G275" s="76">
        <v>12</v>
      </c>
      <c r="H275" s="76">
        <f t="shared" si="22"/>
        <v>72</v>
      </c>
      <c r="I275" s="75" t="s">
        <v>551</v>
      </c>
      <c r="J275" s="76"/>
      <c r="K275" s="76"/>
    </row>
    <row r="276" spans="1:11">
      <c r="A276" s="77" t="s">
        <v>199</v>
      </c>
      <c r="B276" s="79" t="s">
        <v>552</v>
      </c>
      <c r="C276" s="205">
        <v>11</v>
      </c>
      <c r="D276" s="86" t="s">
        <v>320</v>
      </c>
      <c r="E276" s="85">
        <v>0</v>
      </c>
      <c r="F276" s="211" t="s">
        <v>291</v>
      </c>
      <c r="G276" s="85">
        <v>4</v>
      </c>
      <c r="H276" s="85">
        <f t="shared" si="22"/>
        <v>76</v>
      </c>
      <c r="I276" s="86"/>
      <c r="J276" s="85"/>
      <c r="K276" s="85"/>
    </row>
    <row r="277" spans="1:11">
      <c r="A277" s="77" t="s">
        <v>199</v>
      </c>
      <c r="B277" s="80" t="s">
        <v>552</v>
      </c>
      <c r="C277" s="149">
        <v>12</v>
      </c>
      <c r="D277" s="36" t="s">
        <v>298</v>
      </c>
      <c r="E277" s="74">
        <v>0</v>
      </c>
      <c r="F277" s="215" t="s">
        <v>291</v>
      </c>
      <c r="G277" s="74">
        <v>1</v>
      </c>
      <c r="H277" s="74">
        <f t="shared" si="22"/>
        <v>77</v>
      </c>
      <c r="I277" s="36" t="s">
        <v>299</v>
      </c>
      <c r="J277" s="74"/>
      <c r="K277" s="74"/>
    </row>
    <row r="278" spans="1:11">
      <c r="A278" s="77" t="s">
        <v>553</v>
      </c>
      <c r="B278" s="79" t="s">
        <v>206</v>
      </c>
      <c r="C278" s="76">
        <v>1</v>
      </c>
      <c r="D278" s="75" t="s">
        <v>290</v>
      </c>
      <c r="E278" s="76">
        <v>0</v>
      </c>
      <c r="F278" s="210" t="s">
        <v>291</v>
      </c>
      <c r="G278" s="76">
        <v>2</v>
      </c>
      <c r="H278" s="76">
        <v>2</v>
      </c>
      <c r="I278" s="75" t="s">
        <v>554</v>
      </c>
      <c r="J278" s="76"/>
      <c r="K278" s="76"/>
    </row>
    <row r="279" spans="1:11">
      <c r="A279" s="188" t="s">
        <v>208</v>
      </c>
      <c r="B279" s="189" t="s">
        <v>206</v>
      </c>
      <c r="C279" s="191">
        <v>2</v>
      </c>
      <c r="D279" s="184" t="s">
        <v>302</v>
      </c>
      <c r="E279" s="191">
        <v>0</v>
      </c>
      <c r="F279" s="214" t="s">
        <v>291</v>
      </c>
      <c r="G279" s="191">
        <v>3</v>
      </c>
      <c r="H279" s="191">
        <f t="shared" ref="H279:H289" si="23">H278+G279</f>
        <v>5</v>
      </c>
      <c r="I279" s="192" t="s">
        <v>536</v>
      </c>
      <c r="J279" s="76"/>
      <c r="K279" s="76"/>
    </row>
    <row r="280" spans="1:11">
      <c r="A280" s="77" t="s">
        <v>208</v>
      </c>
      <c r="B280" s="79" t="s">
        <v>206</v>
      </c>
      <c r="C280" s="206">
        <v>3</v>
      </c>
      <c r="D280" s="75" t="s">
        <v>537</v>
      </c>
      <c r="E280" s="76">
        <v>0</v>
      </c>
      <c r="F280" s="211" t="s">
        <v>291</v>
      </c>
      <c r="G280" s="76">
        <v>6</v>
      </c>
      <c r="H280" s="76">
        <f t="shared" si="23"/>
        <v>11</v>
      </c>
      <c r="I280" s="75" t="s">
        <v>538</v>
      </c>
      <c r="J280" s="76"/>
      <c r="K280" s="76"/>
    </row>
    <row r="281" spans="1:11">
      <c r="A281" s="77" t="s">
        <v>208</v>
      </c>
      <c r="B281" s="79" t="s">
        <v>206</v>
      </c>
      <c r="C281" s="205">
        <v>4</v>
      </c>
      <c r="D281" s="75" t="s">
        <v>539</v>
      </c>
      <c r="E281" s="76">
        <v>0</v>
      </c>
      <c r="F281" s="211" t="s">
        <v>291</v>
      </c>
      <c r="G281" s="76">
        <v>12</v>
      </c>
      <c r="H281" s="76">
        <f t="shared" si="23"/>
        <v>23</v>
      </c>
      <c r="I281" s="75" t="s">
        <v>321</v>
      </c>
      <c r="J281" s="76"/>
      <c r="K281" s="76"/>
    </row>
    <row r="282" spans="1:11">
      <c r="A282" s="77" t="s">
        <v>208</v>
      </c>
      <c r="B282" s="79" t="s">
        <v>206</v>
      </c>
      <c r="C282" s="205">
        <v>5</v>
      </c>
      <c r="D282" s="75" t="s">
        <v>540</v>
      </c>
      <c r="E282" s="76">
        <v>0</v>
      </c>
      <c r="F282" s="211" t="s">
        <v>291</v>
      </c>
      <c r="G282" s="76">
        <v>6</v>
      </c>
      <c r="H282" s="76">
        <f t="shared" si="23"/>
        <v>29</v>
      </c>
      <c r="I282" s="75" t="s">
        <v>541</v>
      </c>
      <c r="J282" s="76"/>
      <c r="K282" s="76"/>
    </row>
    <row r="283" spans="1:11">
      <c r="A283" s="77" t="s">
        <v>208</v>
      </c>
      <c r="B283" s="79" t="s">
        <v>206</v>
      </c>
      <c r="C283" s="205">
        <v>6</v>
      </c>
      <c r="D283" s="75" t="s">
        <v>542</v>
      </c>
      <c r="E283" s="76">
        <v>0</v>
      </c>
      <c r="F283" s="211" t="s">
        <v>312</v>
      </c>
      <c r="G283" s="76">
        <v>9</v>
      </c>
      <c r="H283" s="76">
        <f t="shared" si="23"/>
        <v>38</v>
      </c>
      <c r="I283" s="75" t="s">
        <v>543</v>
      </c>
      <c r="J283" s="76"/>
      <c r="K283" s="76"/>
    </row>
    <row r="284" spans="1:11">
      <c r="A284" s="77" t="s">
        <v>208</v>
      </c>
      <c r="B284" s="79" t="s">
        <v>206</v>
      </c>
      <c r="C284" s="205">
        <v>7</v>
      </c>
      <c r="D284" s="75" t="s">
        <v>544</v>
      </c>
      <c r="E284" s="76">
        <v>0</v>
      </c>
      <c r="F284" s="211" t="s">
        <v>291</v>
      </c>
      <c r="G284" s="76">
        <v>1</v>
      </c>
      <c r="H284" s="76">
        <f t="shared" si="23"/>
        <v>39</v>
      </c>
      <c r="I284" s="75" t="s">
        <v>545</v>
      </c>
      <c r="J284" s="76"/>
      <c r="K284" s="76"/>
    </row>
    <row r="285" spans="1:11">
      <c r="A285" s="77" t="s">
        <v>208</v>
      </c>
      <c r="B285" s="79" t="s">
        <v>206</v>
      </c>
      <c r="C285" s="205">
        <v>8</v>
      </c>
      <c r="D285" s="75" t="s">
        <v>546</v>
      </c>
      <c r="E285" s="76">
        <v>2</v>
      </c>
      <c r="F285" s="211" t="s">
        <v>312</v>
      </c>
      <c r="G285" s="76">
        <v>9</v>
      </c>
      <c r="H285" s="76">
        <f t="shared" si="23"/>
        <v>48</v>
      </c>
      <c r="I285" s="75" t="s">
        <v>547</v>
      </c>
      <c r="J285" s="76"/>
      <c r="K285" s="76"/>
    </row>
    <row r="286" spans="1:11">
      <c r="A286" s="77" t="s">
        <v>208</v>
      </c>
      <c r="B286" s="79" t="s">
        <v>206</v>
      </c>
      <c r="C286" s="205">
        <v>9</v>
      </c>
      <c r="D286" s="75" t="s">
        <v>548</v>
      </c>
      <c r="E286" s="76">
        <v>0</v>
      </c>
      <c r="F286" s="211" t="s">
        <v>307</v>
      </c>
      <c r="G286" s="76">
        <v>12</v>
      </c>
      <c r="H286" s="76">
        <f t="shared" si="23"/>
        <v>60</v>
      </c>
      <c r="I286" s="75" t="s">
        <v>549</v>
      </c>
      <c r="J286" s="76"/>
      <c r="K286" s="76"/>
    </row>
    <row r="287" spans="1:11">
      <c r="A287" s="77" t="s">
        <v>208</v>
      </c>
      <c r="B287" s="79" t="s">
        <v>206</v>
      </c>
      <c r="C287" s="205">
        <v>10</v>
      </c>
      <c r="D287" s="75" t="s">
        <v>550</v>
      </c>
      <c r="E287" s="76">
        <v>0</v>
      </c>
      <c r="F287" s="211" t="s">
        <v>307</v>
      </c>
      <c r="G287" s="76">
        <v>12</v>
      </c>
      <c r="H287" s="76">
        <f t="shared" si="23"/>
        <v>72</v>
      </c>
      <c r="I287" s="75" t="s">
        <v>551</v>
      </c>
      <c r="J287" s="76"/>
      <c r="K287" s="76"/>
    </row>
    <row r="288" spans="1:11">
      <c r="A288" s="77" t="s">
        <v>208</v>
      </c>
      <c r="B288" s="79" t="s">
        <v>206</v>
      </c>
      <c r="C288" s="205">
        <v>11</v>
      </c>
      <c r="D288" s="86" t="s">
        <v>320</v>
      </c>
      <c r="E288" s="85">
        <v>0</v>
      </c>
      <c r="F288" s="211" t="s">
        <v>291</v>
      </c>
      <c r="G288" s="85">
        <v>4</v>
      </c>
      <c r="H288" s="85">
        <f t="shared" si="23"/>
        <v>76</v>
      </c>
      <c r="I288" s="86"/>
      <c r="J288" s="85"/>
      <c r="K288" s="85"/>
    </row>
    <row r="289" spans="1:11">
      <c r="A289" s="77" t="s">
        <v>208</v>
      </c>
      <c r="B289" s="80" t="s">
        <v>206</v>
      </c>
      <c r="C289" s="149">
        <v>12</v>
      </c>
      <c r="D289" s="36" t="s">
        <v>298</v>
      </c>
      <c r="E289" s="74">
        <v>0</v>
      </c>
      <c r="F289" s="215" t="s">
        <v>291</v>
      </c>
      <c r="G289" s="74">
        <v>1</v>
      </c>
      <c r="H289" s="74">
        <f t="shared" si="23"/>
        <v>77</v>
      </c>
      <c r="I289" s="36" t="s">
        <v>299</v>
      </c>
      <c r="J289" s="74"/>
      <c r="K289" s="74"/>
    </row>
    <row r="290" spans="1:11">
      <c r="A290" s="77" t="s">
        <v>212</v>
      </c>
      <c r="B290" s="75" t="s">
        <v>209</v>
      </c>
      <c r="C290" s="76">
        <v>1</v>
      </c>
      <c r="D290" s="75" t="s">
        <v>290</v>
      </c>
      <c r="E290" s="76">
        <v>0</v>
      </c>
      <c r="F290" s="210" t="s">
        <v>291</v>
      </c>
      <c r="G290" s="76">
        <v>2</v>
      </c>
      <c r="H290" s="76">
        <v>2</v>
      </c>
      <c r="I290" s="75" t="s">
        <v>555</v>
      </c>
      <c r="J290" s="76"/>
      <c r="K290" s="76"/>
    </row>
    <row r="291" spans="1:11">
      <c r="A291" s="188" t="s">
        <v>212</v>
      </c>
      <c r="B291" s="192" t="s">
        <v>209</v>
      </c>
      <c r="C291" s="191">
        <v>2</v>
      </c>
      <c r="D291" s="184" t="s">
        <v>302</v>
      </c>
      <c r="E291" s="191">
        <v>0</v>
      </c>
      <c r="F291" s="214" t="s">
        <v>291</v>
      </c>
      <c r="G291" s="191">
        <v>3</v>
      </c>
      <c r="H291" s="191">
        <f t="shared" ref="H291:H307" si="24">H290+G291</f>
        <v>5</v>
      </c>
      <c r="I291" s="192" t="s">
        <v>536</v>
      </c>
      <c r="J291" s="76"/>
      <c r="K291" s="76"/>
    </row>
    <row r="292" spans="1:11">
      <c r="A292" s="77" t="s">
        <v>212</v>
      </c>
      <c r="B292" s="84" t="s">
        <v>209</v>
      </c>
      <c r="C292" s="206">
        <v>3</v>
      </c>
      <c r="D292" s="138" t="s">
        <v>320</v>
      </c>
      <c r="E292" s="4">
        <v>0</v>
      </c>
      <c r="F292" s="211" t="s">
        <v>291</v>
      </c>
      <c r="G292" s="76">
        <v>4</v>
      </c>
      <c r="H292" s="76">
        <f t="shared" si="24"/>
        <v>9</v>
      </c>
      <c r="I292" s="75" t="s">
        <v>556</v>
      </c>
      <c r="J292" s="85"/>
      <c r="K292" s="76"/>
    </row>
    <row r="293" spans="1:11">
      <c r="A293" s="77" t="s">
        <v>212</v>
      </c>
      <c r="B293" s="84" t="s">
        <v>209</v>
      </c>
      <c r="C293" s="205">
        <v>4</v>
      </c>
      <c r="D293" s="138" t="s">
        <v>537</v>
      </c>
      <c r="E293" s="4">
        <v>0</v>
      </c>
      <c r="F293" s="211" t="s">
        <v>291</v>
      </c>
      <c r="G293" s="76">
        <v>6</v>
      </c>
      <c r="H293" s="23">
        <f t="shared" si="24"/>
        <v>15</v>
      </c>
      <c r="I293" s="75" t="s">
        <v>538</v>
      </c>
      <c r="J293" s="85"/>
      <c r="K293" s="76"/>
    </row>
    <row r="294" spans="1:11">
      <c r="A294" s="77" t="s">
        <v>212</v>
      </c>
      <c r="B294" s="84" t="s">
        <v>209</v>
      </c>
      <c r="C294" s="206">
        <v>5</v>
      </c>
      <c r="D294" s="138" t="s">
        <v>557</v>
      </c>
      <c r="E294" s="4">
        <v>0</v>
      </c>
      <c r="F294" s="211" t="s">
        <v>291</v>
      </c>
      <c r="G294" s="76">
        <v>8</v>
      </c>
      <c r="H294" s="23">
        <f t="shared" si="24"/>
        <v>23</v>
      </c>
      <c r="I294" s="75" t="s">
        <v>310</v>
      </c>
      <c r="J294" s="85"/>
      <c r="K294" s="76"/>
    </row>
    <row r="295" spans="1:11">
      <c r="A295" s="77" t="s">
        <v>212</v>
      </c>
      <c r="B295" s="84" t="s">
        <v>209</v>
      </c>
      <c r="C295" s="205">
        <v>6</v>
      </c>
      <c r="D295" s="138" t="s">
        <v>558</v>
      </c>
      <c r="E295" s="4">
        <v>0</v>
      </c>
      <c r="F295" s="211" t="s">
        <v>291</v>
      </c>
      <c r="G295" s="76">
        <v>6</v>
      </c>
      <c r="H295" s="23">
        <f t="shared" si="24"/>
        <v>29</v>
      </c>
      <c r="I295" s="75" t="s">
        <v>559</v>
      </c>
      <c r="J295" s="85"/>
      <c r="K295" s="76"/>
    </row>
    <row r="296" spans="1:11">
      <c r="A296" s="77" t="s">
        <v>212</v>
      </c>
      <c r="B296" s="84" t="s">
        <v>209</v>
      </c>
      <c r="C296" s="206">
        <v>7</v>
      </c>
      <c r="D296" s="138" t="s">
        <v>560</v>
      </c>
      <c r="E296" s="4">
        <v>4</v>
      </c>
      <c r="F296" s="216" t="s">
        <v>312</v>
      </c>
      <c r="G296" s="76">
        <v>10</v>
      </c>
      <c r="H296" s="23">
        <f t="shared" si="24"/>
        <v>39</v>
      </c>
      <c r="I296" s="75" t="s">
        <v>561</v>
      </c>
      <c r="J296" s="85"/>
      <c r="K296" s="76"/>
    </row>
    <row r="297" spans="1:11">
      <c r="A297" s="77" t="s">
        <v>212</v>
      </c>
      <c r="B297" s="84" t="s">
        <v>209</v>
      </c>
      <c r="C297" s="205">
        <v>8</v>
      </c>
      <c r="D297" s="138" t="s">
        <v>562</v>
      </c>
      <c r="E297" s="4">
        <v>4</v>
      </c>
      <c r="F297" s="216" t="s">
        <v>312</v>
      </c>
      <c r="G297" s="76">
        <v>10</v>
      </c>
      <c r="H297" s="23">
        <f t="shared" si="24"/>
        <v>49</v>
      </c>
      <c r="I297" s="75" t="s">
        <v>561</v>
      </c>
      <c r="J297" s="85"/>
      <c r="K297" s="76"/>
    </row>
    <row r="298" spans="1:11">
      <c r="A298" s="77" t="s">
        <v>212</v>
      </c>
      <c r="B298" s="84" t="s">
        <v>209</v>
      </c>
      <c r="C298" s="206">
        <v>9</v>
      </c>
      <c r="D298" s="138" t="s">
        <v>563</v>
      </c>
      <c r="E298" s="4">
        <v>4</v>
      </c>
      <c r="F298" s="216" t="s">
        <v>312</v>
      </c>
      <c r="G298" s="76">
        <v>10</v>
      </c>
      <c r="H298" s="23">
        <f t="shared" si="24"/>
        <v>59</v>
      </c>
      <c r="I298" s="75" t="s">
        <v>561</v>
      </c>
      <c r="J298" s="85"/>
      <c r="K298" s="76"/>
    </row>
    <row r="299" spans="1:11">
      <c r="A299" s="77" t="s">
        <v>212</v>
      </c>
      <c r="B299" s="84" t="s">
        <v>209</v>
      </c>
      <c r="C299" s="205">
        <v>10</v>
      </c>
      <c r="D299" s="138" t="s">
        <v>564</v>
      </c>
      <c r="E299" s="4">
        <v>4</v>
      </c>
      <c r="F299" s="216" t="s">
        <v>312</v>
      </c>
      <c r="G299" s="76">
        <v>10</v>
      </c>
      <c r="H299" s="23">
        <f t="shared" si="24"/>
        <v>69</v>
      </c>
      <c r="I299" s="75" t="s">
        <v>561</v>
      </c>
      <c r="J299" s="85"/>
      <c r="K299" s="76"/>
    </row>
    <row r="300" spans="1:11">
      <c r="A300" s="77" t="s">
        <v>212</v>
      </c>
      <c r="B300" s="84" t="s">
        <v>209</v>
      </c>
      <c r="C300" s="206">
        <v>11</v>
      </c>
      <c r="D300" s="138" t="s">
        <v>565</v>
      </c>
      <c r="E300" s="4">
        <v>4</v>
      </c>
      <c r="F300" s="216" t="s">
        <v>312</v>
      </c>
      <c r="G300" s="76">
        <v>10</v>
      </c>
      <c r="H300" s="23">
        <f t="shared" si="24"/>
        <v>79</v>
      </c>
      <c r="I300" s="75" t="s">
        <v>561</v>
      </c>
      <c r="J300" s="85"/>
      <c r="K300" s="76"/>
    </row>
    <row r="301" spans="1:11">
      <c r="A301" s="77" t="s">
        <v>212</v>
      </c>
      <c r="B301" s="84" t="s">
        <v>209</v>
      </c>
      <c r="C301" s="205">
        <v>12</v>
      </c>
      <c r="D301" s="138" t="s">
        <v>566</v>
      </c>
      <c r="E301" s="4">
        <v>2</v>
      </c>
      <c r="F301" s="216" t="s">
        <v>312</v>
      </c>
      <c r="G301" s="76">
        <v>9</v>
      </c>
      <c r="H301" s="23">
        <f t="shared" si="24"/>
        <v>88</v>
      </c>
      <c r="I301" s="75" t="s">
        <v>388</v>
      </c>
      <c r="J301" s="85"/>
      <c r="K301" s="76"/>
    </row>
    <row r="302" spans="1:11">
      <c r="A302" s="77" t="s">
        <v>212</v>
      </c>
      <c r="B302" s="84" t="s">
        <v>209</v>
      </c>
      <c r="C302" s="206">
        <v>13</v>
      </c>
      <c r="D302" s="138" t="s">
        <v>567</v>
      </c>
      <c r="E302" s="4">
        <v>3</v>
      </c>
      <c r="F302" s="216" t="s">
        <v>312</v>
      </c>
      <c r="G302" s="76">
        <v>6</v>
      </c>
      <c r="H302" s="23">
        <f t="shared" si="24"/>
        <v>94</v>
      </c>
      <c r="I302" s="75" t="s">
        <v>568</v>
      </c>
      <c r="J302" s="85"/>
      <c r="K302" s="76"/>
    </row>
    <row r="303" spans="1:11">
      <c r="A303" s="77" t="s">
        <v>212</v>
      </c>
      <c r="B303" s="84" t="s">
        <v>209</v>
      </c>
      <c r="C303" s="205">
        <v>14</v>
      </c>
      <c r="D303" s="138" t="s">
        <v>569</v>
      </c>
      <c r="E303" s="4">
        <v>3</v>
      </c>
      <c r="F303" s="216" t="s">
        <v>312</v>
      </c>
      <c r="G303" s="76">
        <v>6</v>
      </c>
      <c r="H303" s="23">
        <f t="shared" si="24"/>
        <v>100</v>
      </c>
      <c r="I303" s="75" t="s">
        <v>568</v>
      </c>
      <c r="J303" s="85"/>
      <c r="K303" s="76"/>
    </row>
    <row r="304" spans="1:11">
      <c r="A304" s="77" t="s">
        <v>212</v>
      </c>
      <c r="B304" s="84" t="s">
        <v>209</v>
      </c>
      <c r="C304" s="206">
        <v>15</v>
      </c>
      <c r="D304" s="138" t="s">
        <v>570</v>
      </c>
      <c r="E304" s="4">
        <v>3</v>
      </c>
      <c r="F304" s="216" t="s">
        <v>312</v>
      </c>
      <c r="G304" s="76">
        <v>6</v>
      </c>
      <c r="H304" s="23">
        <f t="shared" si="24"/>
        <v>106</v>
      </c>
      <c r="I304" s="75" t="s">
        <v>571</v>
      </c>
      <c r="J304" s="85"/>
      <c r="K304" s="76"/>
    </row>
    <row r="305" spans="1:11">
      <c r="A305" s="77" t="s">
        <v>212</v>
      </c>
      <c r="B305" s="84" t="s">
        <v>209</v>
      </c>
      <c r="C305" s="205">
        <v>16</v>
      </c>
      <c r="D305" s="138" t="s">
        <v>572</v>
      </c>
      <c r="E305" s="4">
        <v>3</v>
      </c>
      <c r="F305" s="216" t="s">
        <v>312</v>
      </c>
      <c r="G305" s="76">
        <v>6</v>
      </c>
      <c r="H305" s="23">
        <f t="shared" si="24"/>
        <v>112</v>
      </c>
      <c r="I305" s="75" t="s">
        <v>571</v>
      </c>
      <c r="J305" s="85"/>
      <c r="K305" s="76"/>
    </row>
    <row r="306" spans="1:11">
      <c r="A306" s="77" t="s">
        <v>212</v>
      </c>
      <c r="B306" s="84" t="s">
        <v>209</v>
      </c>
      <c r="C306" s="206">
        <v>17</v>
      </c>
      <c r="D306" s="138" t="s">
        <v>320</v>
      </c>
      <c r="E306" s="4">
        <v>0</v>
      </c>
      <c r="F306" s="211" t="s">
        <v>291</v>
      </c>
      <c r="G306" s="76">
        <v>1</v>
      </c>
      <c r="H306" s="23">
        <f t="shared" si="24"/>
        <v>113</v>
      </c>
      <c r="I306" s="75" t="s">
        <v>321</v>
      </c>
      <c r="J306" s="85"/>
      <c r="K306" s="76"/>
    </row>
    <row r="307" spans="1:11">
      <c r="A307" s="77" t="s">
        <v>212</v>
      </c>
      <c r="B307" s="80" t="s">
        <v>209</v>
      </c>
      <c r="C307" s="149">
        <v>18</v>
      </c>
      <c r="D307" s="139" t="s">
        <v>298</v>
      </c>
      <c r="E307" s="73">
        <v>0</v>
      </c>
      <c r="F307" s="215" t="s">
        <v>291</v>
      </c>
      <c r="G307" s="74">
        <v>1</v>
      </c>
      <c r="H307" s="145">
        <f t="shared" si="24"/>
        <v>114</v>
      </c>
      <c r="I307" s="36" t="s">
        <v>299</v>
      </c>
      <c r="J307" s="74"/>
      <c r="K307" s="74"/>
    </row>
    <row r="308" spans="1:11">
      <c r="A308" s="77" t="s">
        <v>218</v>
      </c>
      <c r="B308" s="75" t="s">
        <v>216</v>
      </c>
      <c r="C308" s="76">
        <v>1</v>
      </c>
      <c r="D308" s="75" t="s">
        <v>290</v>
      </c>
      <c r="E308" s="76">
        <v>0</v>
      </c>
      <c r="F308" s="210" t="s">
        <v>291</v>
      </c>
      <c r="G308" s="76">
        <v>2</v>
      </c>
      <c r="H308" s="76">
        <v>2</v>
      </c>
      <c r="I308" s="75" t="s">
        <v>573</v>
      </c>
      <c r="J308" s="76"/>
      <c r="K308" s="76"/>
    </row>
    <row r="309" spans="1:11">
      <c r="A309" s="188" t="s">
        <v>218</v>
      </c>
      <c r="B309" s="192" t="s">
        <v>216</v>
      </c>
      <c r="C309" s="191">
        <v>2</v>
      </c>
      <c r="D309" s="184" t="s">
        <v>302</v>
      </c>
      <c r="E309" s="191">
        <v>0</v>
      </c>
      <c r="F309" s="214" t="s">
        <v>291</v>
      </c>
      <c r="G309" s="191">
        <v>3</v>
      </c>
      <c r="H309" s="191">
        <f t="shared" ref="H309:H325" si="25">H308+G309</f>
        <v>5</v>
      </c>
      <c r="I309" s="192" t="s">
        <v>536</v>
      </c>
      <c r="J309" s="76"/>
      <c r="K309" s="76"/>
    </row>
    <row r="310" spans="1:11">
      <c r="A310" s="77" t="s">
        <v>218</v>
      </c>
      <c r="B310" s="84" t="s">
        <v>216</v>
      </c>
      <c r="C310" s="206">
        <v>3</v>
      </c>
      <c r="D310" s="138" t="s">
        <v>320</v>
      </c>
      <c r="E310" s="4">
        <v>0</v>
      </c>
      <c r="F310" s="211" t="s">
        <v>291</v>
      </c>
      <c r="G310" s="76">
        <v>4</v>
      </c>
      <c r="H310" s="76">
        <f t="shared" si="25"/>
        <v>9</v>
      </c>
      <c r="I310" s="75" t="s">
        <v>556</v>
      </c>
      <c r="J310" s="85"/>
      <c r="K310" s="76"/>
    </row>
    <row r="311" spans="1:11">
      <c r="A311" s="77" t="s">
        <v>218</v>
      </c>
      <c r="B311" s="84" t="s">
        <v>216</v>
      </c>
      <c r="C311" s="205">
        <v>4</v>
      </c>
      <c r="D311" s="138" t="s">
        <v>537</v>
      </c>
      <c r="E311" s="4">
        <v>0</v>
      </c>
      <c r="F311" s="211" t="s">
        <v>291</v>
      </c>
      <c r="G311" s="76">
        <v>6</v>
      </c>
      <c r="H311" s="23">
        <f t="shared" si="25"/>
        <v>15</v>
      </c>
      <c r="I311" s="75" t="s">
        <v>538</v>
      </c>
      <c r="J311" s="85"/>
      <c r="K311" s="76"/>
    </row>
    <row r="312" spans="1:11">
      <c r="A312" s="77" t="s">
        <v>218</v>
      </c>
      <c r="B312" s="84" t="s">
        <v>216</v>
      </c>
      <c r="C312" s="206">
        <v>5</v>
      </c>
      <c r="D312" s="138" t="s">
        <v>557</v>
      </c>
      <c r="E312" s="4">
        <v>0</v>
      </c>
      <c r="F312" s="211" t="s">
        <v>291</v>
      </c>
      <c r="G312" s="76">
        <v>8</v>
      </c>
      <c r="H312" s="23">
        <f t="shared" si="25"/>
        <v>23</v>
      </c>
      <c r="I312" s="75" t="s">
        <v>310</v>
      </c>
      <c r="J312" s="85"/>
      <c r="K312" s="76"/>
    </row>
    <row r="313" spans="1:11">
      <c r="A313" s="77" t="s">
        <v>218</v>
      </c>
      <c r="B313" s="84" t="s">
        <v>216</v>
      </c>
      <c r="C313" s="205">
        <v>6</v>
      </c>
      <c r="D313" s="138" t="s">
        <v>558</v>
      </c>
      <c r="E313" s="4">
        <v>0</v>
      </c>
      <c r="F313" s="211" t="s">
        <v>291</v>
      </c>
      <c r="G313" s="76">
        <v>6</v>
      </c>
      <c r="H313" s="23">
        <f t="shared" si="25"/>
        <v>29</v>
      </c>
      <c r="I313" s="75" t="s">
        <v>559</v>
      </c>
      <c r="J313" s="85"/>
      <c r="K313" s="76"/>
    </row>
    <row r="314" spans="1:11">
      <c r="A314" s="77" t="s">
        <v>218</v>
      </c>
      <c r="B314" s="84" t="s">
        <v>216</v>
      </c>
      <c r="C314" s="206">
        <v>7</v>
      </c>
      <c r="D314" s="138" t="s">
        <v>560</v>
      </c>
      <c r="E314" s="4">
        <v>4</v>
      </c>
      <c r="F314" s="216" t="s">
        <v>312</v>
      </c>
      <c r="G314" s="76">
        <v>10</v>
      </c>
      <c r="H314" s="23">
        <f t="shared" si="25"/>
        <v>39</v>
      </c>
      <c r="I314" s="75" t="s">
        <v>561</v>
      </c>
      <c r="J314" s="85"/>
      <c r="K314" s="76"/>
    </row>
    <row r="315" spans="1:11">
      <c r="A315" s="77" t="s">
        <v>218</v>
      </c>
      <c r="B315" s="84" t="s">
        <v>216</v>
      </c>
      <c r="C315" s="205">
        <v>8</v>
      </c>
      <c r="D315" s="138" t="s">
        <v>562</v>
      </c>
      <c r="E315" s="4">
        <v>4</v>
      </c>
      <c r="F315" s="216" t="s">
        <v>312</v>
      </c>
      <c r="G315" s="76">
        <v>10</v>
      </c>
      <c r="H315" s="23">
        <f t="shared" si="25"/>
        <v>49</v>
      </c>
      <c r="I315" s="75" t="s">
        <v>561</v>
      </c>
      <c r="J315" s="85"/>
      <c r="K315" s="76"/>
    </row>
    <row r="316" spans="1:11">
      <c r="A316" s="77" t="s">
        <v>218</v>
      </c>
      <c r="B316" s="84" t="s">
        <v>216</v>
      </c>
      <c r="C316" s="206">
        <v>9</v>
      </c>
      <c r="D316" s="138" t="s">
        <v>563</v>
      </c>
      <c r="E316" s="4">
        <v>4</v>
      </c>
      <c r="F316" s="216" t="s">
        <v>312</v>
      </c>
      <c r="G316" s="76">
        <v>10</v>
      </c>
      <c r="H316" s="23">
        <f t="shared" si="25"/>
        <v>59</v>
      </c>
      <c r="I316" s="75" t="s">
        <v>561</v>
      </c>
      <c r="J316" s="85"/>
      <c r="K316" s="76"/>
    </row>
    <row r="317" spans="1:11">
      <c r="A317" s="77" t="s">
        <v>218</v>
      </c>
      <c r="B317" s="84" t="s">
        <v>216</v>
      </c>
      <c r="C317" s="205">
        <v>10</v>
      </c>
      <c r="D317" s="138" t="s">
        <v>564</v>
      </c>
      <c r="E317" s="4">
        <v>4</v>
      </c>
      <c r="F317" s="216" t="s">
        <v>312</v>
      </c>
      <c r="G317" s="76">
        <v>10</v>
      </c>
      <c r="H317" s="23">
        <f t="shared" si="25"/>
        <v>69</v>
      </c>
      <c r="I317" s="75" t="s">
        <v>561</v>
      </c>
      <c r="J317" s="85"/>
      <c r="K317" s="76"/>
    </row>
    <row r="318" spans="1:11">
      <c r="A318" s="77" t="s">
        <v>218</v>
      </c>
      <c r="B318" s="84" t="s">
        <v>216</v>
      </c>
      <c r="C318" s="206">
        <v>11</v>
      </c>
      <c r="D318" s="138" t="s">
        <v>565</v>
      </c>
      <c r="E318" s="4">
        <v>4</v>
      </c>
      <c r="F318" s="216" t="s">
        <v>312</v>
      </c>
      <c r="G318" s="76">
        <v>10</v>
      </c>
      <c r="H318" s="23">
        <f t="shared" si="25"/>
        <v>79</v>
      </c>
      <c r="I318" s="75" t="s">
        <v>561</v>
      </c>
      <c r="J318" s="85"/>
      <c r="K318" s="76"/>
    </row>
    <row r="319" spans="1:11">
      <c r="A319" s="77" t="s">
        <v>218</v>
      </c>
      <c r="B319" s="84" t="s">
        <v>216</v>
      </c>
      <c r="C319" s="205">
        <v>12</v>
      </c>
      <c r="D319" s="138" t="s">
        <v>566</v>
      </c>
      <c r="E319" s="4">
        <v>2</v>
      </c>
      <c r="F319" s="216" t="s">
        <v>312</v>
      </c>
      <c r="G319" s="76">
        <v>9</v>
      </c>
      <c r="H319" s="23">
        <f t="shared" si="25"/>
        <v>88</v>
      </c>
      <c r="I319" s="75" t="s">
        <v>388</v>
      </c>
      <c r="J319" s="85"/>
      <c r="K319" s="76"/>
    </row>
    <row r="320" spans="1:11">
      <c r="A320" s="77" t="s">
        <v>218</v>
      </c>
      <c r="B320" s="84" t="s">
        <v>216</v>
      </c>
      <c r="C320" s="206">
        <v>13</v>
      </c>
      <c r="D320" s="138" t="s">
        <v>567</v>
      </c>
      <c r="E320" s="4">
        <v>3</v>
      </c>
      <c r="F320" s="216" t="s">
        <v>312</v>
      </c>
      <c r="G320" s="76">
        <v>6</v>
      </c>
      <c r="H320" s="23">
        <f t="shared" si="25"/>
        <v>94</v>
      </c>
      <c r="I320" s="75" t="s">
        <v>568</v>
      </c>
      <c r="J320" s="85"/>
      <c r="K320" s="76"/>
    </row>
    <row r="321" spans="1:11">
      <c r="A321" s="77" t="s">
        <v>218</v>
      </c>
      <c r="B321" s="84" t="s">
        <v>216</v>
      </c>
      <c r="C321" s="205">
        <v>14</v>
      </c>
      <c r="D321" s="138" t="s">
        <v>569</v>
      </c>
      <c r="E321" s="4">
        <v>3</v>
      </c>
      <c r="F321" s="216" t="s">
        <v>312</v>
      </c>
      <c r="G321" s="76">
        <v>6</v>
      </c>
      <c r="H321" s="23">
        <f t="shared" si="25"/>
        <v>100</v>
      </c>
      <c r="I321" s="75" t="s">
        <v>568</v>
      </c>
      <c r="J321" s="85"/>
      <c r="K321" s="76"/>
    </row>
    <row r="322" spans="1:11">
      <c r="A322" s="77" t="s">
        <v>218</v>
      </c>
      <c r="B322" s="84" t="s">
        <v>216</v>
      </c>
      <c r="C322" s="206">
        <v>15</v>
      </c>
      <c r="D322" s="138" t="s">
        <v>570</v>
      </c>
      <c r="E322" s="4">
        <v>3</v>
      </c>
      <c r="F322" s="216" t="s">
        <v>312</v>
      </c>
      <c r="G322" s="76">
        <v>6</v>
      </c>
      <c r="H322" s="23">
        <f t="shared" si="25"/>
        <v>106</v>
      </c>
      <c r="I322" s="75" t="s">
        <v>571</v>
      </c>
      <c r="J322" s="85"/>
      <c r="K322" s="76"/>
    </row>
    <row r="323" spans="1:11">
      <c r="A323" s="77" t="s">
        <v>218</v>
      </c>
      <c r="B323" s="84" t="s">
        <v>216</v>
      </c>
      <c r="C323" s="205">
        <v>16</v>
      </c>
      <c r="D323" s="138" t="s">
        <v>572</v>
      </c>
      <c r="E323" s="4">
        <v>3</v>
      </c>
      <c r="F323" s="216" t="s">
        <v>312</v>
      </c>
      <c r="G323" s="76">
        <v>6</v>
      </c>
      <c r="H323" s="23">
        <f t="shared" si="25"/>
        <v>112</v>
      </c>
      <c r="I323" s="75" t="s">
        <v>571</v>
      </c>
      <c r="J323" s="85"/>
      <c r="K323" s="76"/>
    </row>
    <row r="324" spans="1:11">
      <c r="A324" s="77" t="s">
        <v>218</v>
      </c>
      <c r="B324" s="84" t="s">
        <v>216</v>
      </c>
      <c r="C324" s="206">
        <v>17</v>
      </c>
      <c r="D324" s="138" t="s">
        <v>320</v>
      </c>
      <c r="E324" s="4">
        <v>0</v>
      </c>
      <c r="F324" s="211" t="s">
        <v>291</v>
      </c>
      <c r="G324" s="76">
        <v>1</v>
      </c>
      <c r="H324" s="23">
        <f t="shared" si="25"/>
        <v>113</v>
      </c>
      <c r="I324" s="75" t="s">
        <v>321</v>
      </c>
      <c r="J324" s="85"/>
      <c r="K324" s="76"/>
    </row>
    <row r="325" spans="1:11">
      <c r="A325" s="77" t="s">
        <v>218</v>
      </c>
      <c r="B325" s="80" t="s">
        <v>216</v>
      </c>
      <c r="C325" s="149">
        <v>18</v>
      </c>
      <c r="D325" s="146" t="s">
        <v>298</v>
      </c>
      <c r="E325" s="147">
        <v>0</v>
      </c>
      <c r="F325" s="215" t="s">
        <v>291</v>
      </c>
      <c r="G325" s="145">
        <v>1</v>
      </c>
      <c r="H325" s="145">
        <f t="shared" si="25"/>
        <v>114</v>
      </c>
      <c r="I325" s="36" t="s">
        <v>299</v>
      </c>
      <c r="J325" s="74"/>
      <c r="K325" s="74"/>
    </row>
    <row r="326" spans="1:11">
      <c r="A326" s="77" t="s">
        <v>221</v>
      </c>
      <c r="B326" s="75" t="s">
        <v>574</v>
      </c>
      <c r="C326" s="76">
        <v>1</v>
      </c>
      <c r="D326" s="75" t="s">
        <v>290</v>
      </c>
      <c r="E326" s="76">
        <v>0</v>
      </c>
      <c r="F326" s="210" t="s">
        <v>291</v>
      </c>
      <c r="G326" s="76">
        <v>2</v>
      </c>
      <c r="H326" s="76">
        <v>2</v>
      </c>
      <c r="I326" s="75" t="s">
        <v>575</v>
      </c>
      <c r="J326" s="76"/>
      <c r="K326" s="76"/>
    </row>
    <row r="327" spans="1:11">
      <c r="A327" s="188" t="s">
        <v>221</v>
      </c>
      <c r="B327" s="192" t="s">
        <v>574</v>
      </c>
      <c r="C327" s="191">
        <v>2</v>
      </c>
      <c r="D327" s="184" t="s">
        <v>302</v>
      </c>
      <c r="E327" s="191">
        <v>0</v>
      </c>
      <c r="F327" s="214" t="s">
        <v>291</v>
      </c>
      <c r="G327" s="191">
        <v>3</v>
      </c>
      <c r="H327" s="191">
        <f t="shared" ref="H327:H343" si="26">H326+G327</f>
        <v>5</v>
      </c>
      <c r="I327" s="192" t="s">
        <v>536</v>
      </c>
      <c r="J327" s="76"/>
      <c r="K327" s="76"/>
    </row>
    <row r="328" spans="1:11">
      <c r="A328" s="77" t="s">
        <v>221</v>
      </c>
      <c r="B328" s="84" t="s">
        <v>219</v>
      </c>
      <c r="C328" s="206">
        <v>3</v>
      </c>
      <c r="D328" s="138" t="s">
        <v>320</v>
      </c>
      <c r="E328" s="4">
        <v>0</v>
      </c>
      <c r="F328" s="211" t="s">
        <v>291</v>
      </c>
      <c r="G328" s="76">
        <v>4</v>
      </c>
      <c r="H328" s="76">
        <f t="shared" si="26"/>
        <v>9</v>
      </c>
      <c r="I328" s="75" t="s">
        <v>556</v>
      </c>
      <c r="J328" s="85"/>
      <c r="K328" s="76"/>
    </row>
    <row r="329" spans="1:11">
      <c r="A329" s="77" t="s">
        <v>221</v>
      </c>
      <c r="B329" s="84" t="s">
        <v>219</v>
      </c>
      <c r="C329" s="205">
        <v>4</v>
      </c>
      <c r="D329" s="138" t="s">
        <v>537</v>
      </c>
      <c r="E329" s="4">
        <v>0</v>
      </c>
      <c r="F329" s="211" t="s">
        <v>291</v>
      </c>
      <c r="G329" s="76">
        <v>6</v>
      </c>
      <c r="H329" s="23">
        <f t="shared" si="26"/>
        <v>15</v>
      </c>
      <c r="I329" s="75" t="s">
        <v>538</v>
      </c>
      <c r="J329" s="85"/>
      <c r="K329" s="76"/>
    </row>
    <row r="330" spans="1:11">
      <c r="A330" s="77" t="s">
        <v>221</v>
      </c>
      <c r="B330" s="84" t="s">
        <v>219</v>
      </c>
      <c r="C330" s="206">
        <v>5</v>
      </c>
      <c r="D330" s="138" t="s">
        <v>557</v>
      </c>
      <c r="E330" s="4">
        <v>0</v>
      </c>
      <c r="F330" s="211" t="s">
        <v>291</v>
      </c>
      <c r="G330" s="76">
        <v>8</v>
      </c>
      <c r="H330" s="23">
        <f t="shared" si="26"/>
        <v>23</v>
      </c>
      <c r="I330" s="75" t="s">
        <v>310</v>
      </c>
      <c r="J330" s="85"/>
      <c r="K330" s="76"/>
    </row>
    <row r="331" spans="1:11">
      <c r="A331" s="77" t="s">
        <v>221</v>
      </c>
      <c r="B331" s="84" t="s">
        <v>219</v>
      </c>
      <c r="C331" s="205">
        <v>6</v>
      </c>
      <c r="D331" s="138" t="s">
        <v>558</v>
      </c>
      <c r="E331" s="4">
        <v>0</v>
      </c>
      <c r="F331" s="211" t="s">
        <v>291</v>
      </c>
      <c r="G331" s="76">
        <v>6</v>
      </c>
      <c r="H331" s="23">
        <f t="shared" si="26"/>
        <v>29</v>
      </c>
      <c r="I331" s="75" t="s">
        <v>559</v>
      </c>
      <c r="J331" s="85"/>
      <c r="K331" s="76"/>
    </row>
    <row r="332" spans="1:11">
      <c r="A332" s="77" t="s">
        <v>221</v>
      </c>
      <c r="B332" s="84" t="s">
        <v>219</v>
      </c>
      <c r="C332" s="206">
        <v>7</v>
      </c>
      <c r="D332" s="138" t="s">
        <v>560</v>
      </c>
      <c r="E332" s="4">
        <v>4</v>
      </c>
      <c r="F332" s="216" t="s">
        <v>312</v>
      </c>
      <c r="G332" s="76">
        <v>10</v>
      </c>
      <c r="H332" s="23">
        <f t="shared" si="26"/>
        <v>39</v>
      </c>
      <c r="I332" s="75" t="s">
        <v>561</v>
      </c>
      <c r="J332" s="85"/>
      <c r="K332" s="76"/>
    </row>
    <row r="333" spans="1:11">
      <c r="A333" s="77" t="s">
        <v>221</v>
      </c>
      <c r="B333" s="84" t="s">
        <v>219</v>
      </c>
      <c r="C333" s="205">
        <v>8</v>
      </c>
      <c r="D333" s="138" t="s">
        <v>562</v>
      </c>
      <c r="E333" s="4">
        <v>4</v>
      </c>
      <c r="F333" s="216" t="s">
        <v>312</v>
      </c>
      <c r="G333" s="76">
        <v>10</v>
      </c>
      <c r="H333" s="23">
        <f t="shared" si="26"/>
        <v>49</v>
      </c>
      <c r="I333" s="75" t="s">
        <v>561</v>
      </c>
      <c r="J333" s="85"/>
      <c r="K333" s="76"/>
    </row>
    <row r="334" spans="1:11">
      <c r="A334" s="77" t="s">
        <v>221</v>
      </c>
      <c r="B334" s="84" t="s">
        <v>219</v>
      </c>
      <c r="C334" s="206">
        <v>9</v>
      </c>
      <c r="D334" s="138" t="s">
        <v>563</v>
      </c>
      <c r="E334" s="4">
        <v>4</v>
      </c>
      <c r="F334" s="216" t="s">
        <v>312</v>
      </c>
      <c r="G334" s="76">
        <v>10</v>
      </c>
      <c r="H334" s="23">
        <f t="shared" si="26"/>
        <v>59</v>
      </c>
      <c r="I334" s="75" t="s">
        <v>561</v>
      </c>
      <c r="J334" s="85"/>
      <c r="K334" s="76"/>
    </row>
    <row r="335" spans="1:11">
      <c r="A335" s="77" t="s">
        <v>221</v>
      </c>
      <c r="B335" s="84" t="s">
        <v>219</v>
      </c>
      <c r="C335" s="205">
        <v>10</v>
      </c>
      <c r="D335" s="138" t="s">
        <v>564</v>
      </c>
      <c r="E335" s="4">
        <v>4</v>
      </c>
      <c r="F335" s="216" t="s">
        <v>312</v>
      </c>
      <c r="G335" s="76">
        <v>10</v>
      </c>
      <c r="H335" s="23">
        <f t="shared" si="26"/>
        <v>69</v>
      </c>
      <c r="I335" s="75" t="s">
        <v>561</v>
      </c>
      <c r="J335" s="85"/>
      <c r="K335" s="76"/>
    </row>
    <row r="336" spans="1:11">
      <c r="A336" s="77" t="s">
        <v>221</v>
      </c>
      <c r="B336" s="84" t="s">
        <v>219</v>
      </c>
      <c r="C336" s="206">
        <v>11</v>
      </c>
      <c r="D336" s="138" t="s">
        <v>565</v>
      </c>
      <c r="E336" s="4">
        <v>4</v>
      </c>
      <c r="F336" s="216" t="s">
        <v>312</v>
      </c>
      <c r="G336" s="76">
        <v>10</v>
      </c>
      <c r="H336" s="23">
        <f t="shared" si="26"/>
        <v>79</v>
      </c>
      <c r="I336" s="75" t="s">
        <v>561</v>
      </c>
      <c r="J336" s="85"/>
      <c r="K336" s="76"/>
    </row>
    <row r="337" spans="1:11">
      <c r="A337" s="77" t="s">
        <v>221</v>
      </c>
      <c r="B337" s="84" t="s">
        <v>219</v>
      </c>
      <c r="C337" s="205">
        <v>12</v>
      </c>
      <c r="D337" s="138" t="s">
        <v>566</v>
      </c>
      <c r="E337" s="4">
        <v>2</v>
      </c>
      <c r="F337" s="216" t="s">
        <v>312</v>
      </c>
      <c r="G337" s="76">
        <v>9</v>
      </c>
      <c r="H337" s="23">
        <f t="shared" si="26"/>
        <v>88</v>
      </c>
      <c r="I337" s="75" t="s">
        <v>388</v>
      </c>
      <c r="J337" s="85"/>
      <c r="K337" s="76"/>
    </row>
    <row r="338" spans="1:11">
      <c r="A338" s="77" t="s">
        <v>221</v>
      </c>
      <c r="B338" s="84" t="s">
        <v>219</v>
      </c>
      <c r="C338" s="206">
        <v>13</v>
      </c>
      <c r="D338" s="138" t="s">
        <v>567</v>
      </c>
      <c r="E338" s="4">
        <v>3</v>
      </c>
      <c r="F338" s="216" t="s">
        <v>312</v>
      </c>
      <c r="G338" s="76">
        <v>6</v>
      </c>
      <c r="H338" s="23">
        <f t="shared" si="26"/>
        <v>94</v>
      </c>
      <c r="I338" s="75" t="s">
        <v>568</v>
      </c>
      <c r="J338" s="85"/>
      <c r="K338" s="76"/>
    </row>
    <row r="339" spans="1:11">
      <c r="A339" s="77" t="s">
        <v>221</v>
      </c>
      <c r="B339" s="84" t="s">
        <v>219</v>
      </c>
      <c r="C339" s="205">
        <v>14</v>
      </c>
      <c r="D339" s="138" t="s">
        <v>569</v>
      </c>
      <c r="E339" s="4">
        <v>3</v>
      </c>
      <c r="F339" s="216" t="s">
        <v>312</v>
      </c>
      <c r="G339" s="76">
        <v>6</v>
      </c>
      <c r="H339" s="23">
        <f t="shared" si="26"/>
        <v>100</v>
      </c>
      <c r="I339" s="75" t="s">
        <v>568</v>
      </c>
      <c r="J339" s="85"/>
      <c r="K339" s="76"/>
    </row>
    <row r="340" spans="1:11">
      <c r="A340" s="77" t="s">
        <v>221</v>
      </c>
      <c r="B340" s="84" t="s">
        <v>219</v>
      </c>
      <c r="C340" s="206">
        <v>15</v>
      </c>
      <c r="D340" s="138" t="s">
        <v>570</v>
      </c>
      <c r="E340" s="4">
        <v>3</v>
      </c>
      <c r="F340" s="216" t="s">
        <v>312</v>
      </c>
      <c r="G340" s="76">
        <v>6</v>
      </c>
      <c r="H340" s="23">
        <f t="shared" si="26"/>
        <v>106</v>
      </c>
      <c r="I340" s="75" t="s">
        <v>571</v>
      </c>
      <c r="J340" s="85"/>
      <c r="K340" s="76"/>
    </row>
    <row r="341" spans="1:11">
      <c r="A341" s="77" t="s">
        <v>221</v>
      </c>
      <c r="B341" s="84" t="s">
        <v>219</v>
      </c>
      <c r="C341" s="205">
        <v>16</v>
      </c>
      <c r="D341" s="138" t="s">
        <v>572</v>
      </c>
      <c r="E341" s="4">
        <v>3</v>
      </c>
      <c r="F341" s="216" t="s">
        <v>312</v>
      </c>
      <c r="G341" s="76">
        <v>6</v>
      </c>
      <c r="H341" s="23">
        <f t="shared" si="26"/>
        <v>112</v>
      </c>
      <c r="I341" s="75" t="s">
        <v>571</v>
      </c>
      <c r="J341" s="85"/>
      <c r="K341" s="76"/>
    </row>
    <row r="342" spans="1:11">
      <c r="A342" s="77" t="s">
        <v>221</v>
      </c>
      <c r="B342" s="84" t="s">
        <v>219</v>
      </c>
      <c r="C342" s="206">
        <v>17</v>
      </c>
      <c r="D342" s="138" t="s">
        <v>320</v>
      </c>
      <c r="E342" s="4">
        <v>0</v>
      </c>
      <c r="F342" s="211" t="s">
        <v>291</v>
      </c>
      <c r="G342" s="76">
        <v>1</v>
      </c>
      <c r="H342" s="23">
        <f t="shared" si="26"/>
        <v>113</v>
      </c>
      <c r="I342" s="75" t="s">
        <v>321</v>
      </c>
      <c r="J342" s="85"/>
      <c r="K342" s="76"/>
    </row>
    <row r="343" spans="1:11">
      <c r="A343" s="77" t="s">
        <v>221</v>
      </c>
      <c r="B343" s="80" t="s">
        <v>219</v>
      </c>
      <c r="C343" s="149">
        <v>18</v>
      </c>
      <c r="D343" s="146" t="s">
        <v>298</v>
      </c>
      <c r="E343" s="147">
        <v>0</v>
      </c>
      <c r="F343" s="215" t="s">
        <v>291</v>
      </c>
      <c r="G343" s="145">
        <v>1</v>
      </c>
      <c r="H343" s="145">
        <f t="shared" si="26"/>
        <v>114</v>
      </c>
      <c r="I343" s="36" t="s">
        <v>299</v>
      </c>
      <c r="J343" s="74"/>
      <c r="K343" s="74"/>
    </row>
    <row r="344" spans="1:11">
      <c r="A344" s="77" t="s">
        <v>576</v>
      </c>
      <c r="B344" s="75" t="s">
        <v>577</v>
      </c>
      <c r="C344" s="76">
        <v>1</v>
      </c>
      <c r="D344" s="75" t="s">
        <v>290</v>
      </c>
      <c r="E344" s="76">
        <v>0</v>
      </c>
      <c r="F344" s="210" t="s">
        <v>291</v>
      </c>
      <c r="G344" s="76">
        <v>2</v>
      </c>
      <c r="H344" s="76">
        <v>2</v>
      </c>
      <c r="I344" s="75" t="s">
        <v>578</v>
      </c>
      <c r="J344" s="76"/>
      <c r="K344" s="76"/>
    </row>
    <row r="345" spans="1:11">
      <c r="A345" s="188" t="s">
        <v>226</v>
      </c>
      <c r="B345" s="192" t="s">
        <v>577</v>
      </c>
      <c r="C345" s="191">
        <v>2</v>
      </c>
      <c r="D345" s="184" t="s">
        <v>302</v>
      </c>
      <c r="E345" s="191">
        <v>0</v>
      </c>
      <c r="F345" s="214" t="s">
        <v>291</v>
      </c>
      <c r="G345" s="191">
        <v>3</v>
      </c>
      <c r="H345" s="191">
        <f t="shared" ref="H345:H361" si="27">H344+G345</f>
        <v>5</v>
      </c>
      <c r="I345" s="192" t="s">
        <v>536</v>
      </c>
      <c r="J345" s="76"/>
      <c r="K345" s="76"/>
    </row>
    <row r="346" spans="1:11">
      <c r="A346" s="77" t="s">
        <v>226</v>
      </c>
      <c r="B346" s="84" t="s">
        <v>224</v>
      </c>
      <c r="C346" s="206">
        <v>3</v>
      </c>
      <c r="D346" s="138" t="s">
        <v>320</v>
      </c>
      <c r="E346" s="4">
        <v>0</v>
      </c>
      <c r="F346" s="211" t="s">
        <v>291</v>
      </c>
      <c r="G346" s="76">
        <v>4</v>
      </c>
      <c r="H346" s="76">
        <f t="shared" si="27"/>
        <v>9</v>
      </c>
      <c r="I346" s="75" t="s">
        <v>556</v>
      </c>
      <c r="J346" s="85"/>
      <c r="K346" s="76"/>
    </row>
    <row r="347" spans="1:11">
      <c r="A347" s="77" t="s">
        <v>226</v>
      </c>
      <c r="B347" s="84" t="s">
        <v>224</v>
      </c>
      <c r="C347" s="205">
        <v>4</v>
      </c>
      <c r="D347" s="138" t="s">
        <v>537</v>
      </c>
      <c r="E347" s="4">
        <v>0</v>
      </c>
      <c r="F347" s="211" t="s">
        <v>291</v>
      </c>
      <c r="G347" s="76">
        <v>6</v>
      </c>
      <c r="H347" s="23">
        <f t="shared" si="27"/>
        <v>15</v>
      </c>
      <c r="I347" s="75" t="s">
        <v>538</v>
      </c>
      <c r="J347" s="85"/>
      <c r="K347" s="76"/>
    </row>
    <row r="348" spans="1:11">
      <c r="A348" s="77" t="s">
        <v>226</v>
      </c>
      <c r="B348" s="84" t="s">
        <v>224</v>
      </c>
      <c r="C348" s="206">
        <v>5</v>
      </c>
      <c r="D348" s="138" t="s">
        <v>557</v>
      </c>
      <c r="E348" s="4">
        <v>0</v>
      </c>
      <c r="F348" s="211" t="s">
        <v>291</v>
      </c>
      <c r="G348" s="76">
        <v>8</v>
      </c>
      <c r="H348" s="23">
        <f t="shared" si="27"/>
        <v>23</v>
      </c>
      <c r="I348" s="75" t="s">
        <v>310</v>
      </c>
      <c r="J348" s="85"/>
      <c r="K348" s="76"/>
    </row>
    <row r="349" spans="1:11">
      <c r="A349" s="77" t="s">
        <v>226</v>
      </c>
      <c r="B349" s="84" t="s">
        <v>224</v>
      </c>
      <c r="C349" s="205">
        <v>6</v>
      </c>
      <c r="D349" s="138" t="s">
        <v>558</v>
      </c>
      <c r="E349" s="4">
        <v>0</v>
      </c>
      <c r="F349" s="211" t="s">
        <v>291</v>
      </c>
      <c r="G349" s="76">
        <v>6</v>
      </c>
      <c r="H349" s="23">
        <f t="shared" si="27"/>
        <v>29</v>
      </c>
      <c r="I349" s="75" t="s">
        <v>559</v>
      </c>
      <c r="J349" s="85"/>
      <c r="K349" s="76"/>
    </row>
    <row r="350" spans="1:11">
      <c r="A350" s="77" t="s">
        <v>226</v>
      </c>
      <c r="B350" s="84" t="s">
        <v>224</v>
      </c>
      <c r="C350" s="206">
        <v>7</v>
      </c>
      <c r="D350" s="138" t="s">
        <v>560</v>
      </c>
      <c r="E350" s="4">
        <v>4</v>
      </c>
      <c r="F350" s="216" t="s">
        <v>312</v>
      </c>
      <c r="G350" s="76">
        <v>10</v>
      </c>
      <c r="H350" s="23">
        <f t="shared" si="27"/>
        <v>39</v>
      </c>
      <c r="I350" s="75" t="s">
        <v>579</v>
      </c>
      <c r="J350" s="85"/>
      <c r="K350" s="76"/>
    </row>
    <row r="351" spans="1:11">
      <c r="A351" s="77" t="s">
        <v>226</v>
      </c>
      <c r="B351" s="84" t="s">
        <v>224</v>
      </c>
      <c r="C351" s="205">
        <v>8</v>
      </c>
      <c r="D351" s="138" t="s">
        <v>562</v>
      </c>
      <c r="E351" s="4">
        <v>4</v>
      </c>
      <c r="F351" s="216" t="s">
        <v>312</v>
      </c>
      <c r="G351" s="76">
        <v>10</v>
      </c>
      <c r="H351" s="23">
        <f t="shared" si="27"/>
        <v>49</v>
      </c>
      <c r="I351" s="75" t="s">
        <v>561</v>
      </c>
      <c r="J351" s="85"/>
      <c r="K351" s="76"/>
    </row>
    <row r="352" spans="1:11">
      <c r="A352" s="77" t="s">
        <v>226</v>
      </c>
      <c r="B352" s="84" t="s">
        <v>224</v>
      </c>
      <c r="C352" s="206">
        <v>9</v>
      </c>
      <c r="D352" s="138" t="s">
        <v>563</v>
      </c>
      <c r="E352" s="4">
        <v>4</v>
      </c>
      <c r="F352" s="216" t="s">
        <v>312</v>
      </c>
      <c r="G352" s="76">
        <v>10</v>
      </c>
      <c r="H352" s="23">
        <f t="shared" si="27"/>
        <v>59</v>
      </c>
      <c r="I352" s="75" t="s">
        <v>561</v>
      </c>
      <c r="J352" s="85"/>
      <c r="K352" s="76"/>
    </row>
    <row r="353" spans="1:11">
      <c r="A353" s="77" t="s">
        <v>226</v>
      </c>
      <c r="B353" s="84" t="s">
        <v>224</v>
      </c>
      <c r="C353" s="205">
        <v>10</v>
      </c>
      <c r="D353" s="138" t="s">
        <v>564</v>
      </c>
      <c r="E353" s="4">
        <v>4</v>
      </c>
      <c r="F353" s="216" t="s">
        <v>312</v>
      </c>
      <c r="G353" s="76">
        <v>10</v>
      </c>
      <c r="H353" s="23">
        <f t="shared" si="27"/>
        <v>69</v>
      </c>
      <c r="I353" s="75" t="s">
        <v>561</v>
      </c>
      <c r="J353" s="85"/>
      <c r="K353" s="76"/>
    </row>
    <row r="354" spans="1:11">
      <c r="A354" s="77" t="s">
        <v>226</v>
      </c>
      <c r="B354" s="84" t="s">
        <v>224</v>
      </c>
      <c r="C354" s="206">
        <v>11</v>
      </c>
      <c r="D354" s="138" t="s">
        <v>565</v>
      </c>
      <c r="E354" s="4">
        <v>4</v>
      </c>
      <c r="F354" s="216" t="s">
        <v>312</v>
      </c>
      <c r="G354" s="76">
        <v>10</v>
      </c>
      <c r="H354" s="23">
        <f t="shared" si="27"/>
        <v>79</v>
      </c>
      <c r="I354" s="75" t="s">
        <v>561</v>
      </c>
      <c r="J354" s="85"/>
      <c r="K354" s="76"/>
    </row>
    <row r="355" spans="1:11">
      <c r="A355" s="77" t="s">
        <v>226</v>
      </c>
      <c r="B355" s="84" t="s">
        <v>224</v>
      </c>
      <c r="C355" s="205">
        <v>12</v>
      </c>
      <c r="D355" s="138" t="s">
        <v>566</v>
      </c>
      <c r="E355" s="4">
        <v>2</v>
      </c>
      <c r="F355" s="216" t="s">
        <v>312</v>
      </c>
      <c r="G355" s="76">
        <v>9</v>
      </c>
      <c r="H355" s="23">
        <f t="shared" si="27"/>
        <v>88</v>
      </c>
      <c r="I355" s="75" t="s">
        <v>388</v>
      </c>
      <c r="J355" s="85"/>
      <c r="K355" s="76"/>
    </row>
    <row r="356" spans="1:11">
      <c r="A356" s="77" t="s">
        <v>226</v>
      </c>
      <c r="B356" s="84" t="s">
        <v>224</v>
      </c>
      <c r="C356" s="206">
        <v>13</v>
      </c>
      <c r="D356" s="138" t="s">
        <v>567</v>
      </c>
      <c r="E356" s="4">
        <v>3</v>
      </c>
      <c r="F356" s="216" t="s">
        <v>312</v>
      </c>
      <c r="G356" s="76">
        <v>6</v>
      </c>
      <c r="H356" s="23">
        <f t="shared" si="27"/>
        <v>94</v>
      </c>
      <c r="I356" s="75" t="s">
        <v>568</v>
      </c>
      <c r="J356" s="85"/>
      <c r="K356" s="76"/>
    </row>
    <row r="357" spans="1:11">
      <c r="A357" s="77" t="s">
        <v>226</v>
      </c>
      <c r="B357" s="84" t="s">
        <v>224</v>
      </c>
      <c r="C357" s="205">
        <v>14</v>
      </c>
      <c r="D357" s="138" t="s">
        <v>569</v>
      </c>
      <c r="E357" s="4">
        <v>3</v>
      </c>
      <c r="F357" s="216" t="s">
        <v>312</v>
      </c>
      <c r="G357" s="76">
        <v>6</v>
      </c>
      <c r="H357" s="23">
        <f t="shared" si="27"/>
        <v>100</v>
      </c>
      <c r="I357" s="75" t="s">
        <v>568</v>
      </c>
      <c r="J357" s="85"/>
      <c r="K357" s="76"/>
    </row>
    <row r="358" spans="1:11">
      <c r="A358" s="77" t="s">
        <v>226</v>
      </c>
      <c r="B358" s="84" t="s">
        <v>224</v>
      </c>
      <c r="C358" s="206">
        <v>15</v>
      </c>
      <c r="D358" s="138" t="s">
        <v>570</v>
      </c>
      <c r="E358" s="4">
        <v>3</v>
      </c>
      <c r="F358" s="216" t="s">
        <v>312</v>
      </c>
      <c r="G358" s="76">
        <v>6</v>
      </c>
      <c r="H358" s="23">
        <f t="shared" si="27"/>
        <v>106</v>
      </c>
      <c r="I358" s="75" t="s">
        <v>571</v>
      </c>
      <c r="J358" s="85"/>
      <c r="K358" s="76"/>
    </row>
    <row r="359" spans="1:11">
      <c r="A359" s="77" t="s">
        <v>226</v>
      </c>
      <c r="B359" s="84" t="s">
        <v>224</v>
      </c>
      <c r="C359" s="205">
        <v>16</v>
      </c>
      <c r="D359" s="138" t="s">
        <v>572</v>
      </c>
      <c r="E359" s="4">
        <v>3</v>
      </c>
      <c r="F359" s="216" t="s">
        <v>312</v>
      </c>
      <c r="G359" s="76">
        <v>6</v>
      </c>
      <c r="H359" s="23">
        <f t="shared" si="27"/>
        <v>112</v>
      </c>
      <c r="I359" s="75" t="s">
        <v>571</v>
      </c>
      <c r="J359" s="85"/>
      <c r="K359" s="76"/>
    </row>
    <row r="360" spans="1:11">
      <c r="A360" s="77" t="s">
        <v>226</v>
      </c>
      <c r="B360" s="84" t="s">
        <v>224</v>
      </c>
      <c r="C360" s="206">
        <v>17</v>
      </c>
      <c r="D360" s="138" t="s">
        <v>320</v>
      </c>
      <c r="E360" s="4">
        <v>0</v>
      </c>
      <c r="F360" s="211" t="s">
        <v>291</v>
      </c>
      <c r="G360" s="76">
        <v>1</v>
      </c>
      <c r="H360" s="23">
        <f t="shared" si="27"/>
        <v>113</v>
      </c>
      <c r="I360" s="75" t="s">
        <v>321</v>
      </c>
      <c r="J360" s="85"/>
      <c r="K360" s="76"/>
    </row>
    <row r="361" spans="1:11">
      <c r="A361" s="77" t="s">
        <v>226</v>
      </c>
      <c r="B361" s="80" t="s">
        <v>224</v>
      </c>
      <c r="C361" s="149">
        <v>18</v>
      </c>
      <c r="D361" s="146" t="s">
        <v>298</v>
      </c>
      <c r="E361" s="147">
        <v>0</v>
      </c>
      <c r="F361" s="215" t="s">
        <v>291</v>
      </c>
      <c r="G361" s="145">
        <v>1</v>
      </c>
      <c r="H361" s="145">
        <f t="shared" si="27"/>
        <v>114</v>
      </c>
      <c r="I361" s="144" t="s">
        <v>299</v>
      </c>
      <c r="J361" s="74"/>
      <c r="K361" s="74"/>
    </row>
    <row r="362" spans="1:11">
      <c r="A362" s="77" t="s">
        <v>215</v>
      </c>
      <c r="B362" s="75" t="s">
        <v>580</v>
      </c>
      <c r="C362" s="76">
        <v>1</v>
      </c>
      <c r="D362" s="75" t="s">
        <v>290</v>
      </c>
      <c r="E362" s="76">
        <v>0</v>
      </c>
      <c r="F362" s="210" t="s">
        <v>291</v>
      </c>
      <c r="G362" s="76">
        <v>2</v>
      </c>
      <c r="H362" s="76">
        <v>2</v>
      </c>
      <c r="I362" s="75" t="s">
        <v>581</v>
      </c>
      <c r="J362" s="76"/>
      <c r="K362" s="76"/>
    </row>
    <row r="363" spans="1:11">
      <c r="A363" s="188" t="s">
        <v>215</v>
      </c>
      <c r="B363" s="192" t="s">
        <v>580</v>
      </c>
      <c r="C363" s="191">
        <v>2</v>
      </c>
      <c r="D363" s="184" t="s">
        <v>302</v>
      </c>
      <c r="E363" s="191">
        <v>0</v>
      </c>
      <c r="F363" s="214" t="s">
        <v>291</v>
      </c>
      <c r="G363" s="191">
        <v>3</v>
      </c>
      <c r="H363" s="191">
        <f t="shared" ref="H363:H374" si="28">H362+G363</f>
        <v>5</v>
      </c>
      <c r="I363" s="192" t="s">
        <v>503</v>
      </c>
      <c r="J363" s="76"/>
      <c r="K363" s="76"/>
    </row>
    <row r="364" spans="1:11">
      <c r="A364" s="77" t="s">
        <v>215</v>
      </c>
      <c r="B364" s="84" t="s">
        <v>213</v>
      </c>
      <c r="C364" s="206">
        <v>3</v>
      </c>
      <c r="D364" s="138" t="s">
        <v>320</v>
      </c>
      <c r="E364" s="4">
        <v>0</v>
      </c>
      <c r="F364" s="211" t="s">
        <v>291</v>
      </c>
      <c r="G364" s="76">
        <v>4</v>
      </c>
      <c r="H364" s="76">
        <f t="shared" si="28"/>
        <v>9</v>
      </c>
      <c r="I364" s="75"/>
      <c r="J364" s="85"/>
      <c r="K364" s="76"/>
    </row>
    <row r="365" spans="1:11">
      <c r="A365" s="77" t="s">
        <v>215</v>
      </c>
      <c r="B365" s="79" t="s">
        <v>213</v>
      </c>
      <c r="C365" s="205">
        <v>4</v>
      </c>
      <c r="D365" s="138" t="s">
        <v>537</v>
      </c>
      <c r="E365" s="4">
        <v>0</v>
      </c>
      <c r="F365" s="211" t="s">
        <v>291</v>
      </c>
      <c r="G365" s="76">
        <v>6</v>
      </c>
      <c r="H365" s="23">
        <f t="shared" si="28"/>
        <v>15</v>
      </c>
      <c r="I365" s="75" t="s">
        <v>582</v>
      </c>
      <c r="J365" s="85"/>
      <c r="K365" s="76"/>
    </row>
    <row r="366" spans="1:11">
      <c r="A366" s="77" t="s">
        <v>215</v>
      </c>
      <c r="B366" s="79" t="s">
        <v>213</v>
      </c>
      <c r="C366" s="206">
        <v>5</v>
      </c>
      <c r="D366" s="138" t="s">
        <v>557</v>
      </c>
      <c r="E366" s="4">
        <v>0</v>
      </c>
      <c r="F366" s="211" t="s">
        <v>291</v>
      </c>
      <c r="G366" s="76">
        <v>8</v>
      </c>
      <c r="H366" s="23">
        <f t="shared" si="28"/>
        <v>23</v>
      </c>
      <c r="I366" s="75" t="s">
        <v>310</v>
      </c>
      <c r="J366" s="85"/>
      <c r="K366" s="76"/>
    </row>
    <row r="367" spans="1:11">
      <c r="A367" s="77" t="s">
        <v>215</v>
      </c>
      <c r="B367" s="79" t="s">
        <v>213</v>
      </c>
      <c r="C367" s="205">
        <v>6</v>
      </c>
      <c r="D367" s="138" t="s">
        <v>558</v>
      </c>
      <c r="E367" s="4">
        <v>0</v>
      </c>
      <c r="F367" s="211" t="s">
        <v>291</v>
      </c>
      <c r="G367" s="76">
        <v>6</v>
      </c>
      <c r="H367" s="23">
        <f t="shared" si="28"/>
        <v>29</v>
      </c>
      <c r="I367" s="75" t="s">
        <v>559</v>
      </c>
      <c r="J367" s="85"/>
      <c r="K367" s="76"/>
    </row>
    <row r="368" spans="1:11">
      <c r="A368" s="77" t="s">
        <v>215</v>
      </c>
      <c r="B368" s="79" t="s">
        <v>213</v>
      </c>
      <c r="C368" s="206">
        <v>7</v>
      </c>
      <c r="D368" s="138" t="s">
        <v>304</v>
      </c>
      <c r="E368" s="4">
        <v>0</v>
      </c>
      <c r="F368" s="211" t="s">
        <v>291</v>
      </c>
      <c r="G368" s="76">
        <v>12</v>
      </c>
      <c r="H368" s="23">
        <f t="shared" si="28"/>
        <v>41</v>
      </c>
      <c r="I368" s="75" t="s">
        <v>380</v>
      </c>
      <c r="J368" s="85"/>
      <c r="K368" s="76"/>
    </row>
    <row r="369" spans="1:11">
      <c r="A369" s="77" t="s">
        <v>215</v>
      </c>
      <c r="B369" s="79" t="s">
        <v>213</v>
      </c>
      <c r="C369" s="205">
        <v>8</v>
      </c>
      <c r="D369" s="138" t="s">
        <v>583</v>
      </c>
      <c r="E369" s="4">
        <v>2</v>
      </c>
      <c r="F369" s="216" t="s">
        <v>312</v>
      </c>
      <c r="G369" s="76">
        <v>9</v>
      </c>
      <c r="H369" s="23">
        <f t="shared" si="28"/>
        <v>50</v>
      </c>
      <c r="I369" s="75" t="s">
        <v>584</v>
      </c>
      <c r="J369" s="85"/>
      <c r="K369" s="76"/>
    </row>
    <row r="370" spans="1:11">
      <c r="A370" s="77" t="s">
        <v>215</v>
      </c>
      <c r="B370" s="79" t="s">
        <v>213</v>
      </c>
      <c r="C370" s="206">
        <v>9</v>
      </c>
      <c r="D370" s="138" t="s">
        <v>585</v>
      </c>
      <c r="E370" s="4">
        <v>2</v>
      </c>
      <c r="F370" s="216" t="s">
        <v>312</v>
      </c>
      <c r="G370" s="76">
        <v>9</v>
      </c>
      <c r="H370" s="23">
        <f t="shared" si="28"/>
        <v>59</v>
      </c>
      <c r="I370" s="75" t="s">
        <v>584</v>
      </c>
      <c r="J370" s="85"/>
      <c r="K370" s="76"/>
    </row>
    <row r="371" spans="1:11">
      <c r="A371" s="77" t="s">
        <v>215</v>
      </c>
      <c r="B371" s="79" t="s">
        <v>213</v>
      </c>
      <c r="C371" s="205">
        <v>10</v>
      </c>
      <c r="D371" s="138" t="s">
        <v>586</v>
      </c>
      <c r="E371" s="4">
        <v>3</v>
      </c>
      <c r="F371" s="216" t="s">
        <v>312</v>
      </c>
      <c r="G371" s="76">
        <v>6</v>
      </c>
      <c r="H371" s="23">
        <f t="shared" si="28"/>
        <v>65</v>
      </c>
      <c r="I371" s="75" t="s">
        <v>568</v>
      </c>
      <c r="J371" s="85"/>
      <c r="K371" s="76"/>
    </row>
    <row r="372" spans="1:11">
      <c r="A372" s="77" t="s">
        <v>215</v>
      </c>
      <c r="B372" s="79" t="s">
        <v>213</v>
      </c>
      <c r="C372" s="206">
        <v>11</v>
      </c>
      <c r="D372" s="138" t="s">
        <v>587</v>
      </c>
      <c r="E372" s="4">
        <v>0</v>
      </c>
      <c r="F372" s="211" t="s">
        <v>291</v>
      </c>
      <c r="G372" s="76">
        <v>1</v>
      </c>
      <c r="H372" s="23">
        <f t="shared" si="28"/>
        <v>66</v>
      </c>
      <c r="I372" s="75" t="s">
        <v>588</v>
      </c>
      <c r="J372" s="85"/>
      <c r="K372" s="76"/>
    </row>
    <row r="373" spans="1:11">
      <c r="A373" s="77" t="s">
        <v>215</v>
      </c>
      <c r="B373" s="79" t="s">
        <v>213</v>
      </c>
      <c r="C373" s="205">
        <v>12</v>
      </c>
      <c r="D373" s="138" t="s">
        <v>320</v>
      </c>
      <c r="E373" s="4">
        <v>0</v>
      </c>
      <c r="F373" s="211" t="s">
        <v>291</v>
      </c>
      <c r="G373" s="76">
        <v>3</v>
      </c>
      <c r="H373" s="23">
        <f t="shared" si="28"/>
        <v>69</v>
      </c>
      <c r="I373" s="75"/>
      <c r="J373" s="85"/>
      <c r="K373" s="76"/>
    </row>
    <row r="374" spans="1:11">
      <c r="A374" s="77" t="s">
        <v>215</v>
      </c>
      <c r="B374" s="148" t="s">
        <v>213</v>
      </c>
      <c r="C374" s="145">
        <v>13</v>
      </c>
      <c r="D374" s="146" t="s">
        <v>298</v>
      </c>
      <c r="E374" s="147">
        <v>0</v>
      </c>
      <c r="F374" s="215" t="s">
        <v>291</v>
      </c>
      <c r="G374" s="149">
        <v>1</v>
      </c>
      <c r="H374" s="145">
        <f t="shared" si="28"/>
        <v>70</v>
      </c>
      <c r="I374" s="144" t="s">
        <v>299</v>
      </c>
      <c r="J374" s="74"/>
      <c r="K374" s="74"/>
    </row>
    <row r="375" spans="1:11">
      <c r="A375" s="77" t="s">
        <v>223</v>
      </c>
      <c r="B375" s="75" t="s">
        <v>589</v>
      </c>
      <c r="C375" s="76">
        <v>1</v>
      </c>
      <c r="D375" s="75" t="s">
        <v>290</v>
      </c>
      <c r="E375" s="76">
        <v>0</v>
      </c>
      <c r="F375" s="210" t="s">
        <v>291</v>
      </c>
      <c r="G375" s="76">
        <v>2</v>
      </c>
      <c r="H375" s="76">
        <v>2</v>
      </c>
      <c r="I375" s="75" t="s">
        <v>590</v>
      </c>
      <c r="J375" s="76"/>
      <c r="K375" s="76"/>
    </row>
    <row r="376" spans="1:11">
      <c r="A376" s="188" t="s">
        <v>223</v>
      </c>
      <c r="B376" s="192" t="s">
        <v>589</v>
      </c>
      <c r="C376" s="191">
        <v>2</v>
      </c>
      <c r="D376" s="184" t="s">
        <v>302</v>
      </c>
      <c r="E376" s="191">
        <v>0</v>
      </c>
      <c r="F376" s="214" t="s">
        <v>291</v>
      </c>
      <c r="G376" s="191">
        <v>3</v>
      </c>
      <c r="H376" s="191">
        <f t="shared" ref="H376:H387" si="29">H375+G376</f>
        <v>5</v>
      </c>
      <c r="I376" s="192" t="s">
        <v>503</v>
      </c>
      <c r="J376" s="76"/>
      <c r="K376" s="76"/>
    </row>
    <row r="377" spans="1:11">
      <c r="A377" s="77" t="s">
        <v>223</v>
      </c>
      <c r="B377" s="84" t="s">
        <v>222</v>
      </c>
      <c r="C377" s="206">
        <v>3</v>
      </c>
      <c r="D377" s="138" t="s">
        <v>320</v>
      </c>
      <c r="E377" s="4">
        <v>0</v>
      </c>
      <c r="F377" s="211" t="s">
        <v>291</v>
      </c>
      <c r="G377" s="76">
        <v>4</v>
      </c>
      <c r="H377" s="76">
        <f t="shared" si="29"/>
        <v>9</v>
      </c>
      <c r="I377" s="75"/>
      <c r="J377" s="85"/>
      <c r="K377" s="76"/>
    </row>
    <row r="378" spans="1:11">
      <c r="A378" s="77" t="s">
        <v>223</v>
      </c>
      <c r="B378" s="79" t="s">
        <v>222</v>
      </c>
      <c r="C378" s="205">
        <v>4</v>
      </c>
      <c r="D378" s="138" t="s">
        <v>537</v>
      </c>
      <c r="E378" s="4">
        <v>0</v>
      </c>
      <c r="F378" s="211" t="s">
        <v>291</v>
      </c>
      <c r="G378" s="76">
        <v>6</v>
      </c>
      <c r="H378" s="23">
        <f t="shared" si="29"/>
        <v>15</v>
      </c>
      <c r="I378" s="75" t="s">
        <v>582</v>
      </c>
      <c r="J378" s="85"/>
      <c r="K378" s="76"/>
    </row>
    <row r="379" spans="1:11">
      <c r="A379" s="77" t="s">
        <v>223</v>
      </c>
      <c r="B379" s="79" t="s">
        <v>222</v>
      </c>
      <c r="C379" s="206">
        <v>5</v>
      </c>
      <c r="D379" s="138" t="s">
        <v>557</v>
      </c>
      <c r="E379" s="4">
        <v>0</v>
      </c>
      <c r="F379" s="211" t="s">
        <v>291</v>
      </c>
      <c r="G379" s="76">
        <v>8</v>
      </c>
      <c r="H379" s="23">
        <f t="shared" si="29"/>
        <v>23</v>
      </c>
      <c r="I379" s="75" t="s">
        <v>310</v>
      </c>
      <c r="J379" s="85"/>
      <c r="K379" s="76"/>
    </row>
    <row r="380" spans="1:11">
      <c r="A380" s="77" t="s">
        <v>223</v>
      </c>
      <c r="B380" s="79" t="s">
        <v>222</v>
      </c>
      <c r="C380" s="205">
        <v>6</v>
      </c>
      <c r="D380" s="138" t="s">
        <v>558</v>
      </c>
      <c r="E380" s="135">
        <v>0</v>
      </c>
      <c r="F380" s="211" t="s">
        <v>291</v>
      </c>
      <c r="G380" s="133">
        <v>6</v>
      </c>
      <c r="H380" s="23">
        <f t="shared" si="29"/>
        <v>29</v>
      </c>
      <c r="I380" s="75" t="s">
        <v>559</v>
      </c>
      <c r="J380" s="85"/>
      <c r="K380" s="76"/>
    </row>
    <row r="381" spans="1:11">
      <c r="A381" s="77" t="s">
        <v>223</v>
      </c>
      <c r="B381" s="79" t="s">
        <v>222</v>
      </c>
      <c r="C381" s="206">
        <v>7</v>
      </c>
      <c r="D381" s="138" t="s">
        <v>304</v>
      </c>
      <c r="E381" s="135">
        <v>0</v>
      </c>
      <c r="F381" s="211" t="s">
        <v>291</v>
      </c>
      <c r="G381" s="133">
        <v>12</v>
      </c>
      <c r="H381" s="23">
        <f t="shared" si="29"/>
        <v>41</v>
      </c>
      <c r="I381" s="75" t="s">
        <v>380</v>
      </c>
      <c r="J381" s="85"/>
      <c r="K381" s="76"/>
    </row>
    <row r="382" spans="1:11">
      <c r="A382" s="77" t="s">
        <v>223</v>
      </c>
      <c r="B382" s="79" t="s">
        <v>222</v>
      </c>
      <c r="C382" s="205">
        <v>8</v>
      </c>
      <c r="D382" s="138" t="s">
        <v>583</v>
      </c>
      <c r="E382" s="135">
        <v>2</v>
      </c>
      <c r="F382" s="216" t="s">
        <v>312</v>
      </c>
      <c r="G382" s="133">
        <v>9</v>
      </c>
      <c r="H382" s="23">
        <f t="shared" si="29"/>
        <v>50</v>
      </c>
      <c r="I382" s="75" t="s">
        <v>584</v>
      </c>
      <c r="J382" s="85"/>
      <c r="K382" s="76"/>
    </row>
    <row r="383" spans="1:11">
      <c r="A383" s="77" t="s">
        <v>223</v>
      </c>
      <c r="B383" s="79" t="s">
        <v>222</v>
      </c>
      <c r="C383" s="206">
        <v>9</v>
      </c>
      <c r="D383" s="138" t="s">
        <v>585</v>
      </c>
      <c r="E383" s="135">
        <v>2</v>
      </c>
      <c r="F383" s="216" t="s">
        <v>312</v>
      </c>
      <c r="G383" s="133">
        <v>9</v>
      </c>
      <c r="H383" s="23">
        <f t="shared" si="29"/>
        <v>59</v>
      </c>
      <c r="I383" s="75" t="s">
        <v>584</v>
      </c>
      <c r="J383" s="85"/>
      <c r="K383" s="76"/>
    </row>
    <row r="384" spans="1:11">
      <c r="A384" s="77" t="s">
        <v>223</v>
      </c>
      <c r="B384" s="79" t="s">
        <v>222</v>
      </c>
      <c r="C384" s="205">
        <v>10</v>
      </c>
      <c r="D384" s="138" t="s">
        <v>586</v>
      </c>
      <c r="E384" s="135">
        <v>3</v>
      </c>
      <c r="F384" s="216" t="s">
        <v>312</v>
      </c>
      <c r="G384" s="133">
        <v>6</v>
      </c>
      <c r="H384" s="23">
        <f t="shared" si="29"/>
        <v>65</v>
      </c>
      <c r="I384" s="75" t="s">
        <v>568</v>
      </c>
      <c r="J384" s="85"/>
      <c r="K384" s="76"/>
    </row>
    <row r="385" spans="1:11">
      <c r="A385" s="77" t="s">
        <v>223</v>
      </c>
      <c r="B385" s="79" t="s">
        <v>222</v>
      </c>
      <c r="C385" s="206">
        <v>11</v>
      </c>
      <c r="D385" s="138" t="s">
        <v>587</v>
      </c>
      <c r="E385" s="135">
        <v>0</v>
      </c>
      <c r="F385" s="211" t="s">
        <v>291</v>
      </c>
      <c r="G385" s="133">
        <v>1</v>
      </c>
      <c r="H385" s="23">
        <f t="shared" si="29"/>
        <v>66</v>
      </c>
      <c r="I385" s="75" t="s">
        <v>588</v>
      </c>
      <c r="J385" s="85"/>
      <c r="K385" s="76"/>
    </row>
    <row r="386" spans="1:11">
      <c r="A386" s="77" t="s">
        <v>223</v>
      </c>
      <c r="B386" s="79" t="s">
        <v>222</v>
      </c>
      <c r="C386" s="205">
        <v>12</v>
      </c>
      <c r="D386" s="138" t="s">
        <v>320</v>
      </c>
      <c r="E386" s="135">
        <v>0</v>
      </c>
      <c r="F386" s="211" t="s">
        <v>291</v>
      </c>
      <c r="G386" s="133">
        <v>3</v>
      </c>
      <c r="H386" s="23">
        <f t="shared" si="29"/>
        <v>69</v>
      </c>
      <c r="I386" s="75"/>
      <c r="J386" s="85"/>
      <c r="K386" s="76"/>
    </row>
    <row r="387" spans="1:11">
      <c r="A387" s="77" t="s">
        <v>223</v>
      </c>
      <c r="B387" s="148" t="s">
        <v>222</v>
      </c>
      <c r="C387" s="145">
        <v>13</v>
      </c>
      <c r="D387" s="146" t="s">
        <v>298</v>
      </c>
      <c r="E387" s="150">
        <v>0</v>
      </c>
      <c r="F387" s="215" t="s">
        <v>291</v>
      </c>
      <c r="G387" s="151">
        <v>1</v>
      </c>
      <c r="H387" s="145">
        <f t="shared" si="29"/>
        <v>70</v>
      </c>
      <c r="I387" s="144" t="s">
        <v>299</v>
      </c>
      <c r="J387" s="145"/>
      <c r="K387" s="74"/>
    </row>
    <row r="388" spans="1:11">
      <c r="A388" s="77" t="s">
        <v>591</v>
      </c>
      <c r="B388" s="75" t="s">
        <v>592</v>
      </c>
      <c r="C388" s="76">
        <v>1</v>
      </c>
      <c r="D388" s="75" t="s">
        <v>290</v>
      </c>
      <c r="E388" s="76">
        <v>0</v>
      </c>
      <c r="F388" s="210" t="s">
        <v>291</v>
      </c>
      <c r="G388" s="76">
        <v>2</v>
      </c>
      <c r="H388" s="76">
        <v>2</v>
      </c>
      <c r="I388" s="75" t="s">
        <v>593</v>
      </c>
      <c r="J388" s="76"/>
      <c r="K388" s="76"/>
    </row>
    <row r="389" spans="1:11">
      <c r="A389" s="188" t="s">
        <v>228</v>
      </c>
      <c r="B389" s="192" t="s">
        <v>592</v>
      </c>
      <c r="C389" s="191">
        <v>2</v>
      </c>
      <c r="D389" s="184" t="s">
        <v>302</v>
      </c>
      <c r="E389" s="191">
        <v>0</v>
      </c>
      <c r="F389" s="214" t="s">
        <v>291</v>
      </c>
      <c r="G389" s="191">
        <v>3</v>
      </c>
      <c r="H389" s="191">
        <f t="shared" ref="H389:H400" si="30">H388+G389</f>
        <v>5</v>
      </c>
      <c r="I389" s="192" t="s">
        <v>503</v>
      </c>
      <c r="J389" s="76"/>
      <c r="K389" s="76"/>
    </row>
    <row r="390" spans="1:11">
      <c r="A390" s="77" t="s">
        <v>228</v>
      </c>
      <c r="B390" s="84" t="s">
        <v>227</v>
      </c>
      <c r="C390" s="206">
        <v>3</v>
      </c>
      <c r="D390" s="138" t="s">
        <v>320</v>
      </c>
      <c r="E390" s="4">
        <v>0</v>
      </c>
      <c r="F390" s="211" t="s">
        <v>291</v>
      </c>
      <c r="G390" s="76">
        <v>4</v>
      </c>
      <c r="H390" s="76">
        <f t="shared" si="30"/>
        <v>9</v>
      </c>
      <c r="I390" s="75"/>
      <c r="J390" s="85"/>
      <c r="K390" s="76"/>
    </row>
    <row r="391" spans="1:11">
      <c r="A391" s="77" t="s">
        <v>228</v>
      </c>
      <c r="B391" s="79" t="s">
        <v>227</v>
      </c>
      <c r="C391" s="205">
        <v>4</v>
      </c>
      <c r="D391" s="138" t="s">
        <v>537</v>
      </c>
      <c r="E391" s="4">
        <v>0</v>
      </c>
      <c r="F391" s="211" t="s">
        <v>291</v>
      </c>
      <c r="G391" s="76">
        <v>6</v>
      </c>
      <c r="H391" s="23">
        <f t="shared" si="30"/>
        <v>15</v>
      </c>
      <c r="I391" s="75" t="s">
        <v>582</v>
      </c>
      <c r="J391" s="85"/>
      <c r="K391" s="76"/>
    </row>
    <row r="392" spans="1:11">
      <c r="A392" s="77" t="s">
        <v>228</v>
      </c>
      <c r="B392" s="79" t="s">
        <v>227</v>
      </c>
      <c r="C392" s="206">
        <v>5</v>
      </c>
      <c r="D392" s="138" t="s">
        <v>557</v>
      </c>
      <c r="E392" s="135">
        <v>0</v>
      </c>
      <c r="F392" s="211" t="s">
        <v>291</v>
      </c>
      <c r="G392" s="133">
        <v>8</v>
      </c>
      <c r="H392" s="23">
        <f t="shared" si="30"/>
        <v>23</v>
      </c>
      <c r="I392" s="75" t="s">
        <v>310</v>
      </c>
      <c r="J392" s="85"/>
      <c r="K392" s="76"/>
    </row>
    <row r="393" spans="1:11">
      <c r="A393" s="77" t="s">
        <v>228</v>
      </c>
      <c r="B393" s="79" t="s">
        <v>227</v>
      </c>
      <c r="C393" s="205">
        <v>6</v>
      </c>
      <c r="D393" s="138" t="s">
        <v>558</v>
      </c>
      <c r="E393" s="135">
        <v>0</v>
      </c>
      <c r="F393" s="211" t="s">
        <v>291</v>
      </c>
      <c r="G393" s="133">
        <v>6</v>
      </c>
      <c r="H393" s="23">
        <f t="shared" si="30"/>
        <v>29</v>
      </c>
      <c r="I393" s="75" t="s">
        <v>559</v>
      </c>
      <c r="J393" s="85"/>
      <c r="K393" s="76"/>
    </row>
    <row r="394" spans="1:11">
      <c r="A394" s="77" t="s">
        <v>228</v>
      </c>
      <c r="B394" s="79" t="s">
        <v>227</v>
      </c>
      <c r="C394" s="206">
        <v>7</v>
      </c>
      <c r="D394" s="138" t="s">
        <v>304</v>
      </c>
      <c r="E394" s="135">
        <v>0</v>
      </c>
      <c r="F394" s="211" t="s">
        <v>291</v>
      </c>
      <c r="G394" s="133">
        <v>12</v>
      </c>
      <c r="H394" s="23">
        <f t="shared" si="30"/>
        <v>41</v>
      </c>
      <c r="I394" s="75" t="s">
        <v>380</v>
      </c>
      <c r="J394" s="85"/>
      <c r="K394" s="76"/>
    </row>
    <row r="395" spans="1:11">
      <c r="A395" s="77" t="s">
        <v>228</v>
      </c>
      <c r="B395" s="79" t="s">
        <v>227</v>
      </c>
      <c r="C395" s="205">
        <v>8</v>
      </c>
      <c r="D395" s="138" t="s">
        <v>583</v>
      </c>
      <c r="E395" s="135">
        <v>2</v>
      </c>
      <c r="F395" s="216" t="s">
        <v>312</v>
      </c>
      <c r="G395" s="133">
        <v>9</v>
      </c>
      <c r="H395" s="23">
        <f t="shared" si="30"/>
        <v>50</v>
      </c>
      <c r="I395" s="75" t="s">
        <v>584</v>
      </c>
      <c r="J395" s="85"/>
      <c r="K395" s="76"/>
    </row>
    <row r="396" spans="1:11">
      <c r="A396" s="77" t="s">
        <v>228</v>
      </c>
      <c r="B396" s="79" t="s">
        <v>227</v>
      </c>
      <c r="C396" s="206">
        <v>9</v>
      </c>
      <c r="D396" s="138" t="s">
        <v>585</v>
      </c>
      <c r="E396" s="135">
        <v>2</v>
      </c>
      <c r="F396" s="216" t="s">
        <v>312</v>
      </c>
      <c r="G396" s="133">
        <v>9</v>
      </c>
      <c r="H396" s="23">
        <f t="shared" si="30"/>
        <v>59</v>
      </c>
      <c r="I396" s="75" t="s">
        <v>584</v>
      </c>
      <c r="J396" s="85"/>
      <c r="K396" s="76"/>
    </row>
    <row r="397" spans="1:11">
      <c r="A397" s="77" t="s">
        <v>228</v>
      </c>
      <c r="B397" s="79" t="s">
        <v>227</v>
      </c>
      <c r="C397" s="205">
        <v>10</v>
      </c>
      <c r="D397" s="138" t="s">
        <v>586</v>
      </c>
      <c r="E397" s="135">
        <v>3</v>
      </c>
      <c r="F397" s="216" t="s">
        <v>312</v>
      </c>
      <c r="G397" s="133">
        <v>6</v>
      </c>
      <c r="H397" s="23">
        <f t="shared" si="30"/>
        <v>65</v>
      </c>
      <c r="I397" s="75" t="s">
        <v>568</v>
      </c>
      <c r="J397" s="85"/>
      <c r="K397" s="76"/>
    </row>
    <row r="398" spans="1:11">
      <c r="A398" s="77" t="s">
        <v>228</v>
      </c>
      <c r="B398" s="79" t="s">
        <v>227</v>
      </c>
      <c r="C398" s="206">
        <v>11</v>
      </c>
      <c r="D398" s="138" t="s">
        <v>587</v>
      </c>
      <c r="E398" s="135">
        <v>0</v>
      </c>
      <c r="F398" s="211" t="s">
        <v>291</v>
      </c>
      <c r="G398" s="133">
        <v>1</v>
      </c>
      <c r="H398" s="23">
        <f t="shared" si="30"/>
        <v>66</v>
      </c>
      <c r="I398" s="75" t="s">
        <v>588</v>
      </c>
      <c r="J398" s="85"/>
      <c r="K398" s="76"/>
    </row>
    <row r="399" spans="1:11">
      <c r="A399" s="77" t="s">
        <v>228</v>
      </c>
      <c r="B399" s="79" t="s">
        <v>227</v>
      </c>
      <c r="C399" s="205">
        <v>12</v>
      </c>
      <c r="D399" s="138" t="s">
        <v>320</v>
      </c>
      <c r="E399" s="135">
        <v>0</v>
      </c>
      <c r="F399" s="211" t="s">
        <v>291</v>
      </c>
      <c r="G399" s="133">
        <v>3</v>
      </c>
      <c r="H399" s="23">
        <f t="shared" si="30"/>
        <v>69</v>
      </c>
      <c r="I399" s="75"/>
      <c r="J399" s="85"/>
      <c r="K399" s="76"/>
    </row>
    <row r="400" spans="1:11">
      <c r="A400" s="77" t="s">
        <v>228</v>
      </c>
      <c r="B400" s="144" t="s">
        <v>227</v>
      </c>
      <c r="C400" s="145">
        <v>13</v>
      </c>
      <c r="D400" s="146" t="s">
        <v>298</v>
      </c>
      <c r="E400" s="150">
        <v>0</v>
      </c>
      <c r="F400" s="215" t="s">
        <v>291</v>
      </c>
      <c r="G400" s="151">
        <v>1</v>
      </c>
      <c r="H400" s="145">
        <f t="shared" si="30"/>
        <v>70</v>
      </c>
      <c r="I400" s="36" t="s">
        <v>299</v>
      </c>
      <c r="J400" s="74"/>
      <c r="K400" s="74"/>
    </row>
    <row r="401" spans="1:11">
      <c r="A401" s="77" t="s">
        <v>594</v>
      </c>
      <c r="B401" s="79" t="s">
        <v>200</v>
      </c>
      <c r="C401" s="76">
        <v>1</v>
      </c>
      <c r="D401" s="75" t="s">
        <v>290</v>
      </c>
      <c r="E401" s="76">
        <v>0</v>
      </c>
      <c r="F401" s="210" t="s">
        <v>291</v>
      </c>
      <c r="G401" s="76">
        <v>2</v>
      </c>
      <c r="H401" s="76">
        <v>2</v>
      </c>
      <c r="I401" s="75" t="s">
        <v>595</v>
      </c>
      <c r="J401" s="76"/>
      <c r="K401" s="76"/>
    </row>
    <row r="402" spans="1:11">
      <c r="A402" s="188" t="s">
        <v>202</v>
      </c>
      <c r="B402" s="199" t="s">
        <v>200</v>
      </c>
      <c r="C402" s="191">
        <v>2</v>
      </c>
      <c r="D402" s="184" t="s">
        <v>302</v>
      </c>
      <c r="E402" s="191">
        <v>0</v>
      </c>
      <c r="F402" s="214" t="s">
        <v>291</v>
      </c>
      <c r="G402" s="191">
        <v>3</v>
      </c>
      <c r="H402" s="191">
        <f t="shared" ref="H402:H409" si="31">H401+G402</f>
        <v>5</v>
      </c>
      <c r="I402" s="192" t="s">
        <v>536</v>
      </c>
      <c r="J402" s="76"/>
      <c r="K402" s="76"/>
    </row>
    <row r="403" spans="1:11">
      <c r="A403" s="77" t="s">
        <v>202</v>
      </c>
      <c r="B403" s="84" t="s">
        <v>200</v>
      </c>
      <c r="C403" s="206">
        <v>3</v>
      </c>
      <c r="D403" s="75" t="s">
        <v>414</v>
      </c>
      <c r="E403" s="76">
        <v>0</v>
      </c>
      <c r="F403" s="211" t="s">
        <v>291</v>
      </c>
      <c r="G403" s="76">
        <v>8</v>
      </c>
      <c r="H403" s="76">
        <f t="shared" si="31"/>
        <v>13</v>
      </c>
      <c r="I403" s="75" t="s">
        <v>596</v>
      </c>
      <c r="J403" s="76"/>
      <c r="K403" s="76"/>
    </row>
    <row r="404" spans="1:11">
      <c r="A404" s="77" t="s">
        <v>202</v>
      </c>
      <c r="B404" s="84" t="s">
        <v>200</v>
      </c>
      <c r="C404" s="205">
        <v>4</v>
      </c>
      <c r="D404" s="138" t="s">
        <v>597</v>
      </c>
      <c r="E404" s="135">
        <v>0</v>
      </c>
      <c r="F404" s="211" t="s">
        <v>291</v>
      </c>
      <c r="G404" s="133">
        <v>16</v>
      </c>
      <c r="H404" s="23">
        <f t="shared" si="31"/>
        <v>29</v>
      </c>
      <c r="I404" s="75" t="s">
        <v>582</v>
      </c>
      <c r="J404" s="85"/>
      <c r="K404" s="76"/>
    </row>
    <row r="405" spans="1:11">
      <c r="A405" s="77" t="s">
        <v>202</v>
      </c>
      <c r="B405" s="84" t="s">
        <v>200</v>
      </c>
      <c r="C405" s="206">
        <v>5</v>
      </c>
      <c r="D405" s="138" t="s">
        <v>542</v>
      </c>
      <c r="E405" s="135">
        <v>3</v>
      </c>
      <c r="F405" s="211" t="s">
        <v>312</v>
      </c>
      <c r="G405" s="133">
        <v>10</v>
      </c>
      <c r="H405" s="23">
        <f t="shared" si="31"/>
        <v>39</v>
      </c>
      <c r="I405" s="75" t="s">
        <v>598</v>
      </c>
      <c r="J405" s="85"/>
      <c r="K405" s="76"/>
    </row>
    <row r="406" spans="1:11">
      <c r="A406" s="77" t="s">
        <v>202</v>
      </c>
      <c r="B406" s="84" t="s">
        <v>200</v>
      </c>
      <c r="C406" s="205">
        <v>6</v>
      </c>
      <c r="D406" s="138" t="s">
        <v>560</v>
      </c>
      <c r="E406" s="135">
        <v>3</v>
      </c>
      <c r="F406" s="211" t="s">
        <v>312</v>
      </c>
      <c r="G406" s="133">
        <v>10</v>
      </c>
      <c r="H406" s="23">
        <f t="shared" si="31"/>
        <v>49</v>
      </c>
      <c r="I406" s="75" t="s">
        <v>599</v>
      </c>
      <c r="J406" s="85"/>
      <c r="K406" s="76"/>
    </row>
    <row r="407" spans="1:11">
      <c r="A407" s="77" t="s">
        <v>202</v>
      </c>
      <c r="B407" s="84" t="s">
        <v>200</v>
      </c>
      <c r="C407" s="206">
        <v>7</v>
      </c>
      <c r="D407" s="138" t="s">
        <v>600</v>
      </c>
      <c r="E407" s="135">
        <v>3</v>
      </c>
      <c r="F407" s="211" t="s">
        <v>312</v>
      </c>
      <c r="G407" s="133">
        <v>10</v>
      </c>
      <c r="H407" s="23">
        <f t="shared" si="31"/>
        <v>59</v>
      </c>
      <c r="I407" s="75" t="s">
        <v>601</v>
      </c>
      <c r="J407" s="85"/>
      <c r="K407" s="76"/>
    </row>
    <row r="408" spans="1:11">
      <c r="A408" s="77" t="s">
        <v>202</v>
      </c>
      <c r="B408" s="84" t="s">
        <v>200</v>
      </c>
      <c r="C408" s="205">
        <v>8</v>
      </c>
      <c r="D408" s="138" t="s">
        <v>320</v>
      </c>
      <c r="E408" s="135">
        <v>0</v>
      </c>
      <c r="F408" s="211" t="s">
        <v>291</v>
      </c>
      <c r="G408" s="133">
        <v>40</v>
      </c>
      <c r="H408" s="23">
        <f t="shared" si="31"/>
        <v>99</v>
      </c>
      <c r="I408" s="75" t="s">
        <v>321</v>
      </c>
      <c r="J408" s="85"/>
      <c r="K408" s="76"/>
    </row>
    <row r="409" spans="1:11">
      <c r="A409" s="77" t="s">
        <v>202</v>
      </c>
      <c r="B409" s="80" t="s">
        <v>200</v>
      </c>
      <c r="C409" s="145">
        <v>9</v>
      </c>
      <c r="D409" s="139" t="s">
        <v>298</v>
      </c>
      <c r="E409" s="136">
        <v>0</v>
      </c>
      <c r="F409" s="213" t="s">
        <v>291</v>
      </c>
      <c r="G409" s="134">
        <v>1</v>
      </c>
      <c r="H409" s="74">
        <f t="shared" si="31"/>
        <v>100</v>
      </c>
      <c r="I409" s="36" t="s">
        <v>299</v>
      </c>
      <c r="J409" s="74"/>
      <c r="K409" s="74"/>
    </row>
    <row r="410" spans="1:11">
      <c r="A410" s="77" t="s">
        <v>602</v>
      </c>
      <c r="B410" s="154" t="s">
        <v>203</v>
      </c>
      <c r="C410" s="152">
        <v>1</v>
      </c>
      <c r="D410" s="154" t="s">
        <v>290</v>
      </c>
      <c r="E410" s="152">
        <v>0</v>
      </c>
      <c r="F410" s="210" t="s">
        <v>291</v>
      </c>
      <c r="G410" s="152">
        <v>2</v>
      </c>
      <c r="H410" s="152">
        <v>2</v>
      </c>
      <c r="I410" s="154" t="s">
        <v>603</v>
      </c>
      <c r="J410" s="152"/>
      <c r="K410" s="76"/>
    </row>
    <row r="411" spans="1:11">
      <c r="A411" s="188" t="s">
        <v>205</v>
      </c>
      <c r="B411" s="195" t="s">
        <v>203</v>
      </c>
      <c r="C411" s="194">
        <v>2</v>
      </c>
      <c r="D411" s="184" t="s">
        <v>302</v>
      </c>
      <c r="E411" s="194">
        <v>0</v>
      </c>
      <c r="F411" s="214" t="s">
        <v>291</v>
      </c>
      <c r="G411" s="194">
        <v>3</v>
      </c>
      <c r="H411" s="194">
        <f t="shared" ref="H411:H421" si="32">H410+G411</f>
        <v>5</v>
      </c>
      <c r="I411" s="195" t="s">
        <v>536</v>
      </c>
      <c r="J411" s="153"/>
      <c r="K411" s="76"/>
    </row>
    <row r="412" spans="1:11">
      <c r="A412" s="77" t="s">
        <v>205</v>
      </c>
      <c r="B412" s="155" t="s">
        <v>203</v>
      </c>
      <c r="C412" s="206">
        <v>3</v>
      </c>
      <c r="D412" s="155" t="s">
        <v>537</v>
      </c>
      <c r="E412" s="153">
        <v>0</v>
      </c>
      <c r="F412" s="211" t="s">
        <v>291</v>
      </c>
      <c r="G412" s="153">
        <v>6</v>
      </c>
      <c r="H412" s="153">
        <f t="shared" si="32"/>
        <v>11</v>
      </c>
      <c r="I412" s="175" t="s">
        <v>604</v>
      </c>
      <c r="J412" s="153"/>
      <c r="K412" s="76"/>
    </row>
    <row r="413" spans="1:11">
      <c r="A413" s="77" t="s">
        <v>205</v>
      </c>
      <c r="B413" s="155" t="s">
        <v>203</v>
      </c>
      <c r="C413" s="205">
        <v>4</v>
      </c>
      <c r="D413" s="155" t="s">
        <v>305</v>
      </c>
      <c r="E413" s="153">
        <v>0</v>
      </c>
      <c r="F413" s="211" t="s">
        <v>291</v>
      </c>
      <c r="G413" s="153">
        <v>12</v>
      </c>
      <c r="H413" s="153">
        <f t="shared" si="32"/>
        <v>23</v>
      </c>
      <c r="I413" s="155" t="s">
        <v>605</v>
      </c>
      <c r="J413" s="153"/>
      <c r="K413" s="76"/>
    </row>
    <row r="414" spans="1:11">
      <c r="A414" s="77" t="s">
        <v>205</v>
      </c>
      <c r="B414" s="155" t="s">
        <v>203</v>
      </c>
      <c r="C414" s="206">
        <v>5</v>
      </c>
      <c r="D414" s="155" t="s">
        <v>404</v>
      </c>
      <c r="E414" s="153">
        <v>0</v>
      </c>
      <c r="F414" s="211" t="s">
        <v>291</v>
      </c>
      <c r="G414" s="153">
        <v>6</v>
      </c>
      <c r="H414" s="153">
        <f t="shared" si="32"/>
        <v>29</v>
      </c>
      <c r="I414" s="155" t="s">
        <v>606</v>
      </c>
      <c r="J414" s="153"/>
      <c r="K414" s="76"/>
    </row>
    <row r="415" spans="1:11">
      <c r="A415" s="77" t="s">
        <v>205</v>
      </c>
      <c r="B415" s="155" t="s">
        <v>203</v>
      </c>
      <c r="C415" s="205">
        <v>6</v>
      </c>
      <c r="D415" s="155" t="s">
        <v>542</v>
      </c>
      <c r="E415" s="153">
        <v>2</v>
      </c>
      <c r="F415" s="211" t="s">
        <v>312</v>
      </c>
      <c r="G415" s="153">
        <v>9</v>
      </c>
      <c r="H415" s="153">
        <f t="shared" si="32"/>
        <v>38</v>
      </c>
      <c r="I415" s="75" t="s">
        <v>543</v>
      </c>
      <c r="J415" s="153"/>
      <c r="K415" s="76"/>
    </row>
    <row r="416" spans="1:11">
      <c r="A416" s="77" t="s">
        <v>205</v>
      </c>
      <c r="B416" s="155" t="s">
        <v>203</v>
      </c>
      <c r="C416" s="206">
        <v>7</v>
      </c>
      <c r="D416" s="155" t="s">
        <v>544</v>
      </c>
      <c r="E416" s="153">
        <v>0</v>
      </c>
      <c r="F416" s="211" t="s">
        <v>291</v>
      </c>
      <c r="G416" s="153">
        <v>1</v>
      </c>
      <c r="H416" s="153">
        <f t="shared" si="32"/>
        <v>39</v>
      </c>
      <c r="I416" s="155" t="s">
        <v>545</v>
      </c>
      <c r="J416" s="153"/>
      <c r="K416" s="76"/>
    </row>
    <row r="417" spans="1:11">
      <c r="A417" s="77" t="s">
        <v>205</v>
      </c>
      <c r="B417" s="155" t="s">
        <v>203</v>
      </c>
      <c r="C417" s="205">
        <v>8</v>
      </c>
      <c r="D417" s="155" t="s">
        <v>546</v>
      </c>
      <c r="E417" s="153">
        <v>2</v>
      </c>
      <c r="F417" s="211" t="s">
        <v>312</v>
      </c>
      <c r="G417" s="153">
        <v>9</v>
      </c>
      <c r="H417" s="153">
        <f t="shared" si="32"/>
        <v>48</v>
      </c>
      <c r="I417" s="75" t="s">
        <v>543</v>
      </c>
      <c r="J417" s="153"/>
      <c r="K417" s="76"/>
    </row>
    <row r="418" spans="1:11">
      <c r="A418" s="77" t="s">
        <v>205</v>
      </c>
      <c r="B418" s="155" t="s">
        <v>203</v>
      </c>
      <c r="C418" s="206">
        <v>9</v>
      </c>
      <c r="D418" s="155" t="s">
        <v>548</v>
      </c>
      <c r="E418" s="153">
        <v>0</v>
      </c>
      <c r="F418" s="211" t="s">
        <v>307</v>
      </c>
      <c r="G418" s="153">
        <v>12</v>
      </c>
      <c r="H418" s="153">
        <f t="shared" si="32"/>
        <v>60</v>
      </c>
      <c r="I418" s="155" t="s">
        <v>607</v>
      </c>
      <c r="J418" s="153"/>
      <c r="K418" s="76"/>
    </row>
    <row r="419" spans="1:11">
      <c r="A419" s="77" t="s">
        <v>205</v>
      </c>
      <c r="B419" s="155" t="s">
        <v>203</v>
      </c>
      <c r="C419" s="205">
        <v>10</v>
      </c>
      <c r="D419" s="155" t="s">
        <v>550</v>
      </c>
      <c r="E419" s="153">
        <v>0</v>
      </c>
      <c r="F419" s="211" t="s">
        <v>307</v>
      </c>
      <c r="G419" s="153">
        <v>12</v>
      </c>
      <c r="H419" s="153">
        <f t="shared" si="32"/>
        <v>72</v>
      </c>
      <c r="I419" s="155" t="s">
        <v>608</v>
      </c>
      <c r="J419" s="153"/>
      <c r="K419" s="76"/>
    </row>
    <row r="420" spans="1:11">
      <c r="A420" s="203" t="s">
        <v>205</v>
      </c>
      <c r="B420" s="204" t="s">
        <v>203</v>
      </c>
      <c r="C420" s="206">
        <v>11</v>
      </c>
      <c r="D420" s="204" t="s">
        <v>320</v>
      </c>
      <c r="E420" s="205">
        <v>0</v>
      </c>
      <c r="F420" s="211" t="s">
        <v>291</v>
      </c>
      <c r="G420" s="205">
        <v>4</v>
      </c>
      <c r="H420" s="207">
        <f t="shared" si="32"/>
        <v>76</v>
      </c>
      <c r="I420" s="204" t="s">
        <v>321</v>
      </c>
      <c r="J420" s="205"/>
      <c r="K420" s="206"/>
    </row>
    <row r="421" spans="1:11">
      <c r="A421" s="200" t="s">
        <v>205</v>
      </c>
      <c r="B421" s="156" t="s">
        <v>203</v>
      </c>
      <c r="C421" s="149">
        <v>12</v>
      </c>
      <c r="D421" s="146" t="s">
        <v>298</v>
      </c>
      <c r="E421" s="201">
        <v>0</v>
      </c>
      <c r="F421" s="215" t="s">
        <v>291</v>
      </c>
      <c r="G421" s="202">
        <v>1</v>
      </c>
      <c r="H421" s="149">
        <f t="shared" si="32"/>
        <v>77</v>
      </c>
      <c r="I421" s="156" t="s">
        <v>299</v>
      </c>
      <c r="J421" s="149"/>
      <c r="K421" s="149"/>
    </row>
    <row r="422" spans="1:11">
      <c r="A422" s="77" t="s">
        <v>190</v>
      </c>
      <c r="B422" s="138" t="s">
        <v>188</v>
      </c>
      <c r="C422" s="76">
        <v>1</v>
      </c>
      <c r="D422" s="138" t="s">
        <v>290</v>
      </c>
      <c r="E422" s="76">
        <v>0</v>
      </c>
      <c r="F422" s="210" t="s">
        <v>291</v>
      </c>
      <c r="G422" s="76">
        <v>2</v>
      </c>
      <c r="H422" s="76">
        <v>2</v>
      </c>
      <c r="I422" s="75" t="s">
        <v>609</v>
      </c>
      <c r="J422" s="76"/>
      <c r="K422" s="76"/>
    </row>
    <row r="423" spans="1:11">
      <c r="A423" s="188" t="s">
        <v>190</v>
      </c>
      <c r="B423" s="184" t="s">
        <v>188</v>
      </c>
      <c r="C423" s="191">
        <v>2</v>
      </c>
      <c r="D423" s="184" t="s">
        <v>302</v>
      </c>
      <c r="E423" s="191">
        <v>0</v>
      </c>
      <c r="F423" s="214" t="s">
        <v>291</v>
      </c>
      <c r="G423" s="191">
        <v>3</v>
      </c>
      <c r="H423" s="186">
        <f t="shared" ref="H423:H440" si="33">H422+G423</f>
        <v>5</v>
      </c>
      <c r="I423" s="187" t="s">
        <v>610</v>
      </c>
      <c r="J423" s="111"/>
      <c r="K423" s="111"/>
    </row>
    <row r="424" spans="1:11">
      <c r="A424" s="77" t="s">
        <v>190</v>
      </c>
      <c r="B424" s="138" t="s">
        <v>188</v>
      </c>
      <c r="C424" s="206">
        <v>3</v>
      </c>
      <c r="D424" s="138" t="s">
        <v>304</v>
      </c>
      <c r="E424" s="76">
        <v>0</v>
      </c>
      <c r="F424" s="211" t="s">
        <v>291</v>
      </c>
      <c r="G424" s="76">
        <v>12</v>
      </c>
      <c r="H424" s="23">
        <f t="shared" si="33"/>
        <v>17</v>
      </c>
      <c r="I424" s="22" t="s">
        <v>305</v>
      </c>
      <c r="J424" s="76"/>
      <c r="K424" s="76"/>
    </row>
    <row r="425" spans="1:11">
      <c r="A425" s="77" t="s">
        <v>190</v>
      </c>
      <c r="B425" s="138" t="s">
        <v>188</v>
      </c>
      <c r="C425" s="205">
        <v>4</v>
      </c>
      <c r="D425" s="138" t="s">
        <v>611</v>
      </c>
      <c r="E425" s="76">
        <v>0</v>
      </c>
      <c r="F425" s="211" t="s">
        <v>291</v>
      </c>
      <c r="G425" s="76">
        <v>6</v>
      </c>
      <c r="H425" s="23">
        <f t="shared" si="33"/>
        <v>23</v>
      </c>
      <c r="I425" s="22" t="s">
        <v>612</v>
      </c>
      <c r="J425" s="76"/>
      <c r="K425" s="76"/>
    </row>
    <row r="426" spans="1:11">
      <c r="A426" s="77" t="s">
        <v>190</v>
      </c>
      <c r="B426" s="138" t="s">
        <v>188</v>
      </c>
      <c r="C426" s="206">
        <v>5</v>
      </c>
      <c r="D426" s="138" t="s">
        <v>613</v>
      </c>
      <c r="E426" s="76">
        <v>2</v>
      </c>
      <c r="F426" s="216" t="s">
        <v>312</v>
      </c>
      <c r="G426" s="76">
        <v>10</v>
      </c>
      <c r="H426" s="23">
        <f t="shared" si="33"/>
        <v>33</v>
      </c>
      <c r="I426" s="22" t="s">
        <v>614</v>
      </c>
      <c r="J426" s="85"/>
      <c r="K426" s="76"/>
    </row>
    <row r="427" spans="1:11">
      <c r="A427" s="77" t="s">
        <v>190</v>
      </c>
      <c r="B427" s="84" t="s">
        <v>188</v>
      </c>
      <c r="C427" s="205">
        <v>6</v>
      </c>
      <c r="D427" s="138" t="s">
        <v>615</v>
      </c>
      <c r="E427" s="135">
        <v>0</v>
      </c>
      <c r="F427" s="211" t="s">
        <v>291</v>
      </c>
      <c r="G427" s="78">
        <v>1</v>
      </c>
      <c r="H427" s="23">
        <f t="shared" si="33"/>
        <v>34</v>
      </c>
      <c r="I427" s="22" t="s">
        <v>616</v>
      </c>
      <c r="J427" s="85"/>
      <c r="K427" s="76"/>
    </row>
    <row r="428" spans="1:11">
      <c r="A428" s="77" t="s">
        <v>190</v>
      </c>
      <c r="B428" s="84" t="s">
        <v>188</v>
      </c>
      <c r="C428" s="206">
        <v>7</v>
      </c>
      <c r="D428" s="138" t="s">
        <v>617</v>
      </c>
      <c r="E428" s="135">
        <v>6</v>
      </c>
      <c r="F428" s="216" t="s">
        <v>312</v>
      </c>
      <c r="G428" s="78">
        <v>7</v>
      </c>
      <c r="H428" s="23">
        <f t="shared" si="33"/>
        <v>41</v>
      </c>
      <c r="I428" s="22" t="s">
        <v>618</v>
      </c>
      <c r="J428" s="85"/>
      <c r="K428" s="76"/>
    </row>
    <row r="429" spans="1:11">
      <c r="A429" s="77" t="s">
        <v>190</v>
      </c>
      <c r="B429" s="84" t="s">
        <v>188</v>
      </c>
      <c r="C429" s="205">
        <v>8</v>
      </c>
      <c r="D429" s="138" t="s">
        <v>619</v>
      </c>
      <c r="E429" s="135">
        <v>0</v>
      </c>
      <c r="F429" s="211" t="s">
        <v>291</v>
      </c>
      <c r="G429" s="78">
        <v>1</v>
      </c>
      <c r="H429" s="23">
        <f t="shared" si="33"/>
        <v>42</v>
      </c>
      <c r="I429" s="22" t="s">
        <v>620</v>
      </c>
      <c r="J429" s="85"/>
      <c r="K429" s="76"/>
    </row>
    <row r="430" spans="1:11">
      <c r="A430" s="77" t="s">
        <v>190</v>
      </c>
      <c r="B430" s="84" t="s">
        <v>188</v>
      </c>
      <c r="C430" s="206">
        <v>9</v>
      </c>
      <c r="D430" s="138" t="s">
        <v>621</v>
      </c>
      <c r="E430" s="135">
        <v>6</v>
      </c>
      <c r="F430" s="216" t="s">
        <v>312</v>
      </c>
      <c r="G430" s="78">
        <v>7</v>
      </c>
      <c r="H430" s="23">
        <f t="shared" si="33"/>
        <v>49</v>
      </c>
      <c r="I430" s="22" t="s">
        <v>618</v>
      </c>
      <c r="J430" s="85"/>
      <c r="K430" s="76"/>
    </row>
    <row r="431" spans="1:11">
      <c r="A431" s="77" t="s">
        <v>190</v>
      </c>
      <c r="B431" s="84" t="s">
        <v>188</v>
      </c>
      <c r="C431" s="205">
        <v>10</v>
      </c>
      <c r="D431" s="138" t="s">
        <v>622</v>
      </c>
      <c r="E431" s="135">
        <v>0</v>
      </c>
      <c r="F431" s="211" t="s">
        <v>291</v>
      </c>
      <c r="G431" s="78">
        <v>1</v>
      </c>
      <c r="H431" s="23">
        <f t="shared" si="33"/>
        <v>50</v>
      </c>
      <c r="I431" s="22" t="s">
        <v>616</v>
      </c>
      <c r="J431" s="85"/>
      <c r="K431" s="76"/>
    </row>
    <row r="432" spans="1:11">
      <c r="A432" s="77" t="s">
        <v>190</v>
      </c>
      <c r="B432" s="84" t="s">
        <v>188</v>
      </c>
      <c r="C432" s="206">
        <v>11</v>
      </c>
      <c r="D432" s="138" t="s">
        <v>623</v>
      </c>
      <c r="E432" s="135">
        <v>6</v>
      </c>
      <c r="F432" s="216" t="s">
        <v>312</v>
      </c>
      <c r="G432" s="78">
        <v>12</v>
      </c>
      <c r="H432" s="23">
        <f t="shared" si="33"/>
        <v>62</v>
      </c>
      <c r="I432" s="22" t="s">
        <v>624</v>
      </c>
      <c r="J432" s="85"/>
      <c r="K432" s="76"/>
    </row>
    <row r="433" spans="1:11">
      <c r="A433" s="77" t="s">
        <v>190</v>
      </c>
      <c r="B433" s="84" t="s">
        <v>188</v>
      </c>
      <c r="C433" s="205">
        <v>12</v>
      </c>
      <c r="D433" s="138" t="s">
        <v>625</v>
      </c>
      <c r="E433" s="135">
        <v>0</v>
      </c>
      <c r="F433" s="211" t="s">
        <v>291</v>
      </c>
      <c r="G433" s="78">
        <v>1</v>
      </c>
      <c r="H433" s="23">
        <f t="shared" si="33"/>
        <v>63</v>
      </c>
      <c r="I433" s="22" t="s">
        <v>616</v>
      </c>
      <c r="J433" s="85"/>
      <c r="K433" s="76"/>
    </row>
    <row r="434" spans="1:11">
      <c r="A434" s="77" t="s">
        <v>190</v>
      </c>
      <c r="B434" s="84" t="s">
        <v>188</v>
      </c>
      <c r="C434" s="206">
        <v>13</v>
      </c>
      <c r="D434" s="138" t="s">
        <v>626</v>
      </c>
      <c r="E434" s="135">
        <v>6</v>
      </c>
      <c r="F434" s="216" t="s">
        <v>312</v>
      </c>
      <c r="G434" s="78">
        <v>12</v>
      </c>
      <c r="H434" s="23">
        <f t="shared" si="33"/>
        <v>75</v>
      </c>
      <c r="I434" s="22" t="s">
        <v>624</v>
      </c>
      <c r="J434" s="85"/>
      <c r="K434" s="76"/>
    </row>
    <row r="435" spans="1:11">
      <c r="A435" s="77" t="s">
        <v>190</v>
      </c>
      <c r="B435" s="84" t="s">
        <v>188</v>
      </c>
      <c r="C435" s="205">
        <v>14</v>
      </c>
      <c r="D435" s="138" t="s">
        <v>627</v>
      </c>
      <c r="E435" s="135">
        <v>0</v>
      </c>
      <c r="F435" s="211" t="s">
        <v>291</v>
      </c>
      <c r="G435" s="78">
        <v>1</v>
      </c>
      <c r="H435" s="23">
        <f t="shared" si="33"/>
        <v>76</v>
      </c>
      <c r="I435" s="22" t="s">
        <v>616</v>
      </c>
      <c r="J435" s="85"/>
      <c r="K435" s="76"/>
    </row>
    <row r="436" spans="1:11">
      <c r="A436" s="77" t="s">
        <v>190</v>
      </c>
      <c r="B436" s="84" t="s">
        <v>188</v>
      </c>
      <c r="C436" s="206">
        <v>15</v>
      </c>
      <c r="D436" s="138" t="s">
        <v>628</v>
      </c>
      <c r="E436" s="135">
        <v>6</v>
      </c>
      <c r="F436" s="216" t="s">
        <v>312</v>
      </c>
      <c r="G436" s="78">
        <v>12</v>
      </c>
      <c r="H436" s="23">
        <f t="shared" si="33"/>
        <v>88</v>
      </c>
      <c r="I436" s="22" t="s">
        <v>624</v>
      </c>
      <c r="J436" s="85"/>
      <c r="K436" s="76"/>
    </row>
    <row r="437" spans="1:11">
      <c r="A437" s="77" t="s">
        <v>190</v>
      </c>
      <c r="B437" s="84" t="s">
        <v>188</v>
      </c>
      <c r="C437" s="205">
        <v>16</v>
      </c>
      <c r="D437" s="138" t="s">
        <v>629</v>
      </c>
      <c r="E437" s="135">
        <v>2</v>
      </c>
      <c r="F437" s="216" t="s">
        <v>312</v>
      </c>
      <c r="G437" s="78">
        <v>5</v>
      </c>
      <c r="H437" s="23">
        <f t="shared" si="33"/>
        <v>93</v>
      </c>
      <c r="I437" s="22" t="s">
        <v>630</v>
      </c>
      <c r="J437" s="85"/>
      <c r="K437" s="76"/>
    </row>
    <row r="438" spans="1:11">
      <c r="A438" s="77" t="s">
        <v>190</v>
      </c>
      <c r="B438" s="84" t="s">
        <v>188</v>
      </c>
      <c r="C438" s="206">
        <v>17</v>
      </c>
      <c r="D438" s="138" t="s">
        <v>631</v>
      </c>
      <c r="E438" s="135">
        <v>2</v>
      </c>
      <c r="F438" s="216" t="s">
        <v>312</v>
      </c>
      <c r="G438" s="78">
        <v>10</v>
      </c>
      <c r="H438" s="23">
        <f t="shared" si="33"/>
        <v>103</v>
      </c>
      <c r="I438" s="22" t="s">
        <v>632</v>
      </c>
      <c r="J438" s="85"/>
      <c r="K438" s="76"/>
    </row>
    <row r="439" spans="1:11">
      <c r="A439" s="77" t="s">
        <v>190</v>
      </c>
      <c r="B439" s="84" t="s">
        <v>188</v>
      </c>
      <c r="C439" s="205">
        <v>18</v>
      </c>
      <c r="D439" s="138" t="s">
        <v>320</v>
      </c>
      <c r="E439" s="135">
        <v>0</v>
      </c>
      <c r="F439" s="211" t="s">
        <v>291</v>
      </c>
      <c r="G439" s="78">
        <v>6</v>
      </c>
      <c r="H439" s="23">
        <f t="shared" si="33"/>
        <v>109</v>
      </c>
      <c r="I439" s="22" t="s">
        <v>321</v>
      </c>
      <c r="J439" s="85"/>
      <c r="K439" s="76"/>
    </row>
    <row r="440" spans="1:11">
      <c r="A440" s="77" t="s">
        <v>190</v>
      </c>
      <c r="B440" s="80" t="s">
        <v>188</v>
      </c>
      <c r="C440" s="145">
        <v>19</v>
      </c>
      <c r="D440" s="140" t="s">
        <v>298</v>
      </c>
      <c r="E440" s="136">
        <v>0</v>
      </c>
      <c r="F440" s="215" t="s">
        <v>291</v>
      </c>
      <c r="G440" s="87">
        <v>1</v>
      </c>
      <c r="H440" s="74">
        <f t="shared" si="33"/>
        <v>110</v>
      </c>
      <c r="I440" s="36" t="s">
        <v>299</v>
      </c>
      <c r="J440" s="74"/>
      <c r="K440" s="74"/>
    </row>
    <row r="441" spans="1:11">
      <c r="A441" s="77" t="s">
        <v>633</v>
      </c>
      <c r="B441" s="138" t="s">
        <v>191</v>
      </c>
      <c r="C441" s="76">
        <v>1</v>
      </c>
      <c r="D441" s="138" t="s">
        <v>290</v>
      </c>
      <c r="E441" s="76">
        <v>0</v>
      </c>
      <c r="F441" s="210" t="s">
        <v>291</v>
      </c>
      <c r="G441" s="76">
        <v>2</v>
      </c>
      <c r="H441" s="76">
        <v>2</v>
      </c>
      <c r="I441" s="75" t="s">
        <v>634</v>
      </c>
      <c r="J441" s="76"/>
      <c r="K441" s="76"/>
    </row>
    <row r="442" spans="1:11">
      <c r="A442" s="188" t="s">
        <v>193</v>
      </c>
      <c r="B442" s="184" t="s">
        <v>191</v>
      </c>
      <c r="C442" s="191">
        <v>2</v>
      </c>
      <c r="D442" s="184" t="s">
        <v>302</v>
      </c>
      <c r="E442" s="191">
        <v>0</v>
      </c>
      <c r="F442" s="214" t="s">
        <v>291</v>
      </c>
      <c r="G442" s="191">
        <v>3</v>
      </c>
      <c r="H442" s="186">
        <f>H441+G442</f>
        <v>5</v>
      </c>
      <c r="I442" s="187" t="s">
        <v>610</v>
      </c>
      <c r="J442" s="111"/>
      <c r="K442" s="111"/>
    </row>
    <row r="443" spans="1:11">
      <c r="A443" s="77" t="s">
        <v>193</v>
      </c>
      <c r="B443" s="138" t="s">
        <v>191</v>
      </c>
      <c r="C443" s="206">
        <v>3</v>
      </c>
      <c r="D443" s="138" t="s">
        <v>611</v>
      </c>
      <c r="E443" s="76">
        <v>0</v>
      </c>
      <c r="F443" s="211" t="s">
        <v>291</v>
      </c>
      <c r="G443" s="76">
        <v>6</v>
      </c>
      <c r="H443" s="23">
        <f>H442+G443</f>
        <v>11</v>
      </c>
      <c r="I443" s="22" t="s">
        <v>612</v>
      </c>
      <c r="J443" s="76"/>
      <c r="K443" s="76"/>
    </row>
    <row r="444" spans="1:11">
      <c r="A444" s="77" t="s">
        <v>193</v>
      </c>
      <c r="B444" s="138" t="s">
        <v>191</v>
      </c>
      <c r="C444" s="205">
        <v>4</v>
      </c>
      <c r="D444" s="138" t="s">
        <v>635</v>
      </c>
      <c r="E444" s="76">
        <v>0</v>
      </c>
      <c r="F444" s="85"/>
      <c r="G444" s="76">
        <v>850</v>
      </c>
      <c r="H444" s="23">
        <f>H443+G444</f>
        <v>861</v>
      </c>
      <c r="I444" s="22" t="s">
        <v>636</v>
      </c>
      <c r="J444" s="76"/>
      <c r="K444" s="76"/>
    </row>
    <row r="445" spans="1:11">
      <c r="A445" s="77" t="s">
        <v>193</v>
      </c>
      <c r="B445" s="84" t="s">
        <v>191</v>
      </c>
      <c r="C445" s="206">
        <v>5</v>
      </c>
      <c r="D445" s="138" t="s">
        <v>304</v>
      </c>
      <c r="E445" s="135">
        <v>0</v>
      </c>
      <c r="F445" s="85" t="s">
        <v>291</v>
      </c>
      <c r="G445" s="78">
        <v>12</v>
      </c>
      <c r="H445" s="23"/>
      <c r="I445" s="22" t="s">
        <v>637</v>
      </c>
      <c r="J445" s="85"/>
      <c r="K445" s="76"/>
    </row>
    <row r="446" spans="1:11">
      <c r="A446" s="77" t="s">
        <v>193</v>
      </c>
      <c r="B446" s="84" t="s">
        <v>191</v>
      </c>
      <c r="C446" s="205">
        <v>6</v>
      </c>
      <c r="D446" s="138" t="s">
        <v>629</v>
      </c>
      <c r="E446" s="135">
        <v>2</v>
      </c>
      <c r="F446" s="216" t="s">
        <v>312</v>
      </c>
      <c r="G446" s="78">
        <v>5</v>
      </c>
      <c r="H446" s="23"/>
      <c r="I446" s="22" t="s">
        <v>638</v>
      </c>
      <c r="J446" s="85"/>
      <c r="K446" s="76"/>
    </row>
    <row r="447" spans="1:11">
      <c r="A447" s="77" t="s">
        <v>193</v>
      </c>
      <c r="B447" s="84" t="s">
        <v>191</v>
      </c>
      <c r="C447" s="206">
        <v>7</v>
      </c>
      <c r="D447" s="138" t="s">
        <v>320</v>
      </c>
      <c r="E447" s="135">
        <v>0</v>
      </c>
      <c r="F447" s="211" t="s">
        <v>291</v>
      </c>
      <c r="G447" s="78">
        <v>8</v>
      </c>
      <c r="H447" s="23">
        <f>H444+G447</f>
        <v>869</v>
      </c>
      <c r="I447" s="86"/>
      <c r="J447" s="85"/>
      <c r="K447" s="76"/>
    </row>
    <row r="448" spans="1:11">
      <c r="A448" s="77" t="s">
        <v>193</v>
      </c>
      <c r="B448" s="80" t="s">
        <v>191</v>
      </c>
      <c r="C448" s="149">
        <v>8</v>
      </c>
      <c r="D448" s="139" t="s">
        <v>298</v>
      </c>
      <c r="E448" s="72">
        <v>0</v>
      </c>
      <c r="F448" s="215" t="s">
        <v>291</v>
      </c>
      <c r="G448" s="134">
        <v>1</v>
      </c>
      <c r="H448" s="74">
        <f>H447+G448</f>
        <v>870</v>
      </c>
      <c r="I448" s="36" t="s">
        <v>299</v>
      </c>
      <c r="J448" s="74"/>
      <c r="K448" s="74"/>
    </row>
    <row r="449" spans="1:11">
      <c r="A449" s="77" t="s">
        <v>639</v>
      </c>
      <c r="B449" s="79" t="s">
        <v>237</v>
      </c>
      <c r="C449" s="76">
        <v>1</v>
      </c>
      <c r="D449" s="138" t="s">
        <v>290</v>
      </c>
      <c r="E449" s="137">
        <v>0</v>
      </c>
      <c r="F449" s="210" t="s">
        <v>291</v>
      </c>
      <c r="G449" s="78">
        <v>2</v>
      </c>
      <c r="H449" s="76">
        <v>2</v>
      </c>
      <c r="I449" s="75" t="s">
        <v>640</v>
      </c>
      <c r="J449" s="76"/>
      <c r="K449" s="76"/>
    </row>
    <row r="450" spans="1:11">
      <c r="A450" s="188" t="s">
        <v>238</v>
      </c>
      <c r="B450" s="189" t="s">
        <v>237</v>
      </c>
      <c r="C450" s="191">
        <v>2</v>
      </c>
      <c r="D450" s="184" t="s">
        <v>302</v>
      </c>
      <c r="E450" s="196">
        <v>0</v>
      </c>
      <c r="F450" s="214" t="s">
        <v>291</v>
      </c>
      <c r="G450" s="190">
        <v>3</v>
      </c>
      <c r="H450" s="191">
        <f>H449+G450</f>
        <v>5</v>
      </c>
      <c r="I450" s="187" t="s">
        <v>641</v>
      </c>
      <c r="J450" s="76"/>
      <c r="K450" s="76"/>
    </row>
    <row r="451" spans="1:11">
      <c r="A451" s="77" t="s">
        <v>238</v>
      </c>
      <c r="B451" s="79" t="s">
        <v>237</v>
      </c>
      <c r="C451" s="206">
        <v>3</v>
      </c>
      <c r="D451" s="138" t="s">
        <v>304</v>
      </c>
      <c r="E451" s="137">
        <v>0</v>
      </c>
      <c r="F451" s="211" t="s">
        <v>291</v>
      </c>
      <c r="G451" s="78">
        <v>12</v>
      </c>
      <c r="H451" s="76">
        <f>H450+G451</f>
        <v>17</v>
      </c>
      <c r="I451" s="22" t="s">
        <v>305</v>
      </c>
      <c r="J451" s="76"/>
      <c r="K451" s="76"/>
    </row>
    <row r="452" spans="1:11">
      <c r="A452" s="77" t="s">
        <v>238</v>
      </c>
      <c r="B452" s="79" t="s">
        <v>237</v>
      </c>
      <c r="C452" s="205">
        <v>4</v>
      </c>
      <c r="D452" s="138" t="s">
        <v>306</v>
      </c>
      <c r="E452" s="137">
        <v>0</v>
      </c>
      <c r="F452" s="216" t="s">
        <v>307</v>
      </c>
      <c r="G452" s="78">
        <v>8</v>
      </c>
      <c r="H452" s="76">
        <v>25</v>
      </c>
      <c r="I452" s="22" t="s">
        <v>308</v>
      </c>
      <c r="J452" s="76"/>
      <c r="K452" s="76"/>
    </row>
    <row r="453" spans="1:11">
      <c r="A453" s="77" t="s">
        <v>238</v>
      </c>
      <c r="B453" s="79" t="s">
        <v>237</v>
      </c>
      <c r="C453" s="206">
        <v>5</v>
      </c>
      <c r="D453" s="138" t="s">
        <v>642</v>
      </c>
      <c r="E453" s="137">
        <v>0</v>
      </c>
      <c r="F453" s="211" t="s">
        <v>291</v>
      </c>
      <c r="G453" s="78">
        <v>9</v>
      </c>
      <c r="H453" s="76">
        <v>34</v>
      </c>
      <c r="I453" s="22" t="s">
        <v>643</v>
      </c>
      <c r="J453" s="76"/>
      <c r="K453" s="76"/>
    </row>
    <row r="454" spans="1:11">
      <c r="A454" s="77" t="s">
        <v>238</v>
      </c>
      <c r="B454" s="79" t="s">
        <v>237</v>
      </c>
      <c r="C454" s="205">
        <v>6</v>
      </c>
      <c r="D454" s="138" t="s">
        <v>644</v>
      </c>
      <c r="E454" s="137">
        <v>0</v>
      </c>
      <c r="F454" s="211" t="s">
        <v>291</v>
      </c>
      <c r="G454" s="78">
        <v>8</v>
      </c>
      <c r="H454" s="76">
        <v>42</v>
      </c>
      <c r="I454" s="22" t="s">
        <v>645</v>
      </c>
      <c r="J454" s="76"/>
      <c r="K454" s="76"/>
    </row>
    <row r="455" spans="1:11">
      <c r="A455" s="77" t="s">
        <v>238</v>
      </c>
      <c r="B455" s="79" t="s">
        <v>237</v>
      </c>
      <c r="C455" s="206">
        <v>7</v>
      </c>
      <c r="D455" s="138" t="s">
        <v>646</v>
      </c>
      <c r="E455" s="137">
        <v>0</v>
      </c>
      <c r="F455" s="211" t="s">
        <v>291</v>
      </c>
      <c r="G455" s="78">
        <v>80</v>
      </c>
      <c r="H455" s="76">
        <v>122</v>
      </c>
      <c r="I455" s="22"/>
      <c r="J455" s="76"/>
      <c r="K455" s="76"/>
    </row>
    <row r="456" spans="1:11">
      <c r="A456" s="77" t="s">
        <v>238</v>
      </c>
      <c r="B456" s="79" t="s">
        <v>237</v>
      </c>
      <c r="C456" s="205">
        <v>8</v>
      </c>
      <c r="D456" s="138" t="s">
        <v>647</v>
      </c>
      <c r="E456" s="137">
        <v>0</v>
      </c>
      <c r="F456" s="211" t="s">
        <v>291</v>
      </c>
      <c r="G456" s="78">
        <v>40</v>
      </c>
      <c r="H456" s="76">
        <v>162</v>
      </c>
      <c r="I456" s="22"/>
      <c r="J456" s="76"/>
      <c r="K456" s="76"/>
    </row>
    <row r="457" spans="1:11">
      <c r="A457" s="77" t="s">
        <v>238</v>
      </c>
      <c r="B457" s="79" t="s">
        <v>237</v>
      </c>
      <c r="C457" s="206">
        <v>9</v>
      </c>
      <c r="D457" s="138" t="s">
        <v>648</v>
      </c>
      <c r="E457" s="137">
        <v>0</v>
      </c>
      <c r="F457" s="211" t="s">
        <v>291</v>
      </c>
      <c r="G457" s="78">
        <v>80</v>
      </c>
      <c r="H457" s="76">
        <v>242</v>
      </c>
      <c r="I457" s="22"/>
      <c r="J457" s="76"/>
      <c r="K457" s="76"/>
    </row>
    <row r="458" spans="1:11">
      <c r="A458" s="77" t="s">
        <v>238</v>
      </c>
      <c r="B458" s="79" t="s">
        <v>237</v>
      </c>
      <c r="C458" s="205">
        <v>10</v>
      </c>
      <c r="D458" s="138" t="s">
        <v>649</v>
      </c>
      <c r="E458" s="137">
        <v>0</v>
      </c>
      <c r="F458" s="211" t="s">
        <v>291</v>
      </c>
      <c r="G458" s="78">
        <v>40</v>
      </c>
      <c r="H458" s="76">
        <v>282</v>
      </c>
      <c r="I458" s="22"/>
      <c r="J458" s="76"/>
      <c r="K458" s="76"/>
    </row>
    <row r="459" spans="1:11">
      <c r="A459" s="77" t="s">
        <v>238</v>
      </c>
      <c r="B459" s="79" t="s">
        <v>237</v>
      </c>
      <c r="C459" s="206">
        <v>11</v>
      </c>
      <c r="D459" s="138" t="s">
        <v>650</v>
      </c>
      <c r="E459" s="137">
        <v>0</v>
      </c>
      <c r="F459" s="216" t="s">
        <v>307</v>
      </c>
      <c r="G459" s="78">
        <v>5</v>
      </c>
      <c r="H459" s="76">
        <v>287</v>
      </c>
      <c r="I459" s="22" t="s">
        <v>380</v>
      </c>
      <c r="J459" s="76"/>
      <c r="K459" s="76"/>
    </row>
    <row r="460" spans="1:11">
      <c r="A460" s="77" t="s">
        <v>238</v>
      </c>
      <c r="B460" s="79" t="s">
        <v>237</v>
      </c>
      <c r="C460" s="205">
        <v>12</v>
      </c>
      <c r="D460" s="138" t="s">
        <v>651</v>
      </c>
      <c r="E460" s="137">
        <v>0</v>
      </c>
      <c r="F460" s="211" t="s">
        <v>291</v>
      </c>
      <c r="G460" s="78">
        <v>1</v>
      </c>
      <c r="H460" s="76">
        <v>288</v>
      </c>
      <c r="I460" s="22" t="s">
        <v>652</v>
      </c>
      <c r="J460" s="76"/>
      <c r="K460" s="76"/>
    </row>
    <row r="461" spans="1:11">
      <c r="A461" s="77" t="s">
        <v>238</v>
      </c>
      <c r="B461" s="79" t="s">
        <v>237</v>
      </c>
      <c r="C461" s="206">
        <v>13</v>
      </c>
      <c r="D461" s="138" t="s">
        <v>653</v>
      </c>
      <c r="E461" s="137">
        <v>0</v>
      </c>
      <c r="F461" s="211" t="s">
        <v>291</v>
      </c>
      <c r="G461" s="78">
        <v>1</v>
      </c>
      <c r="H461" s="76">
        <v>289</v>
      </c>
      <c r="I461" s="22" t="s">
        <v>654</v>
      </c>
      <c r="J461" s="76"/>
      <c r="K461" s="76"/>
    </row>
    <row r="462" spans="1:11">
      <c r="A462" s="77" t="s">
        <v>238</v>
      </c>
      <c r="B462" s="79" t="s">
        <v>237</v>
      </c>
      <c r="C462" s="205">
        <v>14</v>
      </c>
      <c r="D462" s="138" t="s">
        <v>655</v>
      </c>
      <c r="E462" s="137">
        <v>0</v>
      </c>
      <c r="F462" s="211" t="s">
        <v>291</v>
      </c>
      <c r="G462" s="78">
        <v>7</v>
      </c>
      <c r="H462" s="76">
        <v>296</v>
      </c>
      <c r="I462" s="22" t="s">
        <v>380</v>
      </c>
      <c r="J462" s="76"/>
      <c r="K462" s="76"/>
    </row>
    <row r="463" spans="1:11" ht="33.75">
      <c r="A463" s="77" t="s">
        <v>238</v>
      </c>
      <c r="B463" s="79" t="s">
        <v>237</v>
      </c>
      <c r="C463" s="206">
        <v>15</v>
      </c>
      <c r="D463" s="138" t="s">
        <v>656</v>
      </c>
      <c r="E463" s="137">
        <v>0</v>
      </c>
      <c r="F463" s="216" t="s">
        <v>307</v>
      </c>
      <c r="G463" s="78">
        <v>9</v>
      </c>
      <c r="H463" s="76">
        <v>305</v>
      </c>
      <c r="I463" s="22" t="s">
        <v>657</v>
      </c>
      <c r="J463" s="76"/>
      <c r="K463" s="76"/>
    </row>
    <row r="464" spans="1:11">
      <c r="A464" s="77" t="s">
        <v>238</v>
      </c>
      <c r="B464" s="79" t="s">
        <v>237</v>
      </c>
      <c r="C464" s="205">
        <v>16</v>
      </c>
      <c r="D464" s="138" t="s">
        <v>658</v>
      </c>
      <c r="E464" s="137">
        <v>0</v>
      </c>
      <c r="F464" s="216" t="s">
        <v>307</v>
      </c>
      <c r="G464" s="78">
        <v>9</v>
      </c>
      <c r="H464" s="76">
        <v>314</v>
      </c>
      <c r="I464" s="22" t="s">
        <v>346</v>
      </c>
      <c r="J464" s="76"/>
      <c r="K464" s="76"/>
    </row>
    <row r="465" spans="1:11">
      <c r="A465" s="77" t="s">
        <v>238</v>
      </c>
      <c r="B465" s="79" t="s">
        <v>237</v>
      </c>
      <c r="C465" s="206">
        <v>17</v>
      </c>
      <c r="D465" s="138" t="s">
        <v>659</v>
      </c>
      <c r="E465" s="137">
        <v>0</v>
      </c>
      <c r="F465" s="216" t="s">
        <v>307</v>
      </c>
      <c r="G465" s="78">
        <v>9</v>
      </c>
      <c r="H465" s="76">
        <v>323</v>
      </c>
      <c r="I465" s="22" t="s">
        <v>346</v>
      </c>
      <c r="J465" s="76"/>
      <c r="K465" s="76"/>
    </row>
    <row r="466" spans="1:11">
      <c r="A466" s="77" t="s">
        <v>238</v>
      </c>
      <c r="B466" s="79" t="s">
        <v>237</v>
      </c>
      <c r="C466" s="205">
        <v>18</v>
      </c>
      <c r="D466" s="138" t="s">
        <v>660</v>
      </c>
      <c r="E466" s="137">
        <v>0</v>
      </c>
      <c r="F466" s="216" t="s">
        <v>307</v>
      </c>
      <c r="G466" s="78">
        <v>15</v>
      </c>
      <c r="H466" s="76">
        <v>338</v>
      </c>
      <c r="I466" s="22" t="s">
        <v>316</v>
      </c>
      <c r="J466" s="76"/>
      <c r="K466" s="76"/>
    </row>
    <row r="467" spans="1:11">
      <c r="A467" s="77" t="s">
        <v>238</v>
      </c>
      <c r="B467" s="79" t="s">
        <v>237</v>
      </c>
      <c r="C467" s="206">
        <v>19</v>
      </c>
      <c r="D467" s="138" t="s">
        <v>661</v>
      </c>
      <c r="E467" s="137">
        <v>0</v>
      </c>
      <c r="F467" s="216" t="s">
        <v>307</v>
      </c>
      <c r="G467" s="78">
        <v>9</v>
      </c>
      <c r="H467" s="76">
        <v>347</v>
      </c>
      <c r="I467" s="22" t="s">
        <v>346</v>
      </c>
      <c r="J467" s="76"/>
      <c r="K467" s="76"/>
    </row>
    <row r="468" spans="1:11">
      <c r="A468" s="77" t="s">
        <v>238</v>
      </c>
      <c r="B468" s="79" t="s">
        <v>237</v>
      </c>
      <c r="C468" s="205">
        <v>20</v>
      </c>
      <c r="D468" s="138" t="s">
        <v>662</v>
      </c>
      <c r="E468" s="137">
        <v>0</v>
      </c>
      <c r="F468" s="211" t="s">
        <v>291</v>
      </c>
      <c r="G468" s="78">
        <v>2</v>
      </c>
      <c r="H468" s="76">
        <v>349</v>
      </c>
      <c r="I468" s="22" t="s">
        <v>663</v>
      </c>
      <c r="J468" s="76"/>
      <c r="K468" s="76"/>
    </row>
    <row r="469" spans="1:11">
      <c r="A469" s="77" t="s">
        <v>238</v>
      </c>
      <c r="B469" s="79" t="s">
        <v>237</v>
      </c>
      <c r="C469" s="206">
        <v>21</v>
      </c>
      <c r="D469" s="138" t="s">
        <v>664</v>
      </c>
      <c r="E469" s="137">
        <v>0</v>
      </c>
      <c r="F469" s="211" t="s">
        <v>291</v>
      </c>
      <c r="G469" s="78">
        <v>1</v>
      </c>
      <c r="H469" s="76">
        <v>350</v>
      </c>
      <c r="I469" s="22" t="s">
        <v>665</v>
      </c>
      <c r="J469" s="76"/>
      <c r="K469" s="76"/>
    </row>
    <row r="470" spans="1:11">
      <c r="A470" s="77" t="s">
        <v>238</v>
      </c>
      <c r="B470" s="79" t="s">
        <v>237</v>
      </c>
      <c r="C470" s="205">
        <v>22</v>
      </c>
      <c r="D470" s="138" t="s">
        <v>666</v>
      </c>
      <c r="E470" s="137">
        <v>2</v>
      </c>
      <c r="F470" s="216" t="s">
        <v>312</v>
      </c>
      <c r="G470" s="78">
        <v>6</v>
      </c>
      <c r="H470" s="76">
        <v>356</v>
      </c>
      <c r="I470" s="22" t="s">
        <v>667</v>
      </c>
      <c r="J470" s="76"/>
      <c r="K470" s="76"/>
    </row>
    <row r="471" spans="1:11">
      <c r="A471" s="77" t="s">
        <v>238</v>
      </c>
      <c r="B471" s="79" t="s">
        <v>237</v>
      </c>
      <c r="C471" s="206">
        <v>23</v>
      </c>
      <c r="D471" s="138" t="s">
        <v>668</v>
      </c>
      <c r="E471" s="137">
        <v>0</v>
      </c>
      <c r="F471" s="216" t="s">
        <v>307</v>
      </c>
      <c r="G471" s="78">
        <v>9</v>
      </c>
      <c r="H471" s="76">
        <v>365</v>
      </c>
      <c r="I471" s="22" t="s">
        <v>346</v>
      </c>
      <c r="J471" s="76"/>
      <c r="K471" s="76"/>
    </row>
    <row r="472" spans="1:11">
      <c r="A472" s="77" t="s">
        <v>238</v>
      </c>
      <c r="B472" s="79" t="s">
        <v>237</v>
      </c>
      <c r="C472" s="205">
        <v>24</v>
      </c>
      <c r="D472" s="138" t="s">
        <v>669</v>
      </c>
      <c r="E472" s="137">
        <v>0</v>
      </c>
      <c r="F472" s="211" t="s">
        <v>291</v>
      </c>
      <c r="G472" s="78">
        <v>1</v>
      </c>
      <c r="H472" s="76">
        <v>366</v>
      </c>
      <c r="I472" s="22" t="s">
        <v>670</v>
      </c>
      <c r="J472" s="76"/>
      <c r="K472" s="76"/>
    </row>
    <row r="473" spans="1:11">
      <c r="A473" s="77" t="s">
        <v>238</v>
      </c>
      <c r="B473" s="79" t="s">
        <v>237</v>
      </c>
      <c r="C473" s="206">
        <v>25</v>
      </c>
      <c r="D473" s="138" t="s">
        <v>671</v>
      </c>
      <c r="E473" s="137">
        <v>0</v>
      </c>
      <c r="F473" s="211" t="s">
        <v>291</v>
      </c>
      <c r="G473" s="78">
        <v>2</v>
      </c>
      <c r="H473" s="76">
        <v>368</v>
      </c>
      <c r="I473" s="22" t="s">
        <v>582</v>
      </c>
      <c r="J473" s="76"/>
      <c r="K473" s="76"/>
    </row>
    <row r="474" spans="1:11" ht="22.5">
      <c r="A474" s="77" t="s">
        <v>238</v>
      </c>
      <c r="B474" s="79" t="s">
        <v>237</v>
      </c>
      <c r="C474" s="205">
        <v>26</v>
      </c>
      <c r="D474" s="138" t="s">
        <v>672</v>
      </c>
      <c r="E474" s="137">
        <v>0</v>
      </c>
      <c r="F474" s="211" t="s">
        <v>291</v>
      </c>
      <c r="G474" s="78">
        <v>1</v>
      </c>
      <c r="H474" s="76">
        <v>369</v>
      </c>
      <c r="I474" s="22" t="s">
        <v>673</v>
      </c>
      <c r="J474" s="76"/>
      <c r="K474" s="76"/>
    </row>
    <row r="475" spans="1:11">
      <c r="A475" s="77" t="s">
        <v>238</v>
      </c>
      <c r="B475" s="79" t="s">
        <v>237</v>
      </c>
      <c r="C475" s="206">
        <v>27</v>
      </c>
      <c r="D475" s="138" t="s">
        <v>674</v>
      </c>
      <c r="E475" s="137">
        <v>0</v>
      </c>
      <c r="F475" s="211" t="s">
        <v>291</v>
      </c>
      <c r="G475" s="78">
        <v>40</v>
      </c>
      <c r="H475" s="76">
        <v>409</v>
      </c>
      <c r="I475" s="22" t="s">
        <v>675</v>
      </c>
      <c r="J475" s="76"/>
      <c r="K475" s="76"/>
    </row>
    <row r="476" spans="1:11">
      <c r="A476" s="77" t="s">
        <v>238</v>
      </c>
      <c r="B476" s="79" t="s">
        <v>237</v>
      </c>
      <c r="C476" s="205">
        <v>28</v>
      </c>
      <c r="D476" s="138" t="s">
        <v>676</v>
      </c>
      <c r="E476" s="137">
        <v>0</v>
      </c>
      <c r="F476" s="211" t="s">
        <v>291</v>
      </c>
      <c r="G476" s="78">
        <v>8</v>
      </c>
      <c r="H476" s="76">
        <v>417</v>
      </c>
      <c r="I476" s="22" t="s">
        <v>310</v>
      </c>
      <c r="J476" s="76"/>
      <c r="K476" s="76"/>
    </row>
    <row r="477" spans="1:11" ht="33.75">
      <c r="A477" s="77" t="s">
        <v>238</v>
      </c>
      <c r="B477" s="79" t="s">
        <v>237</v>
      </c>
      <c r="C477" s="206">
        <v>29</v>
      </c>
      <c r="D477" s="138" t="s">
        <v>677</v>
      </c>
      <c r="E477" s="137">
        <v>0</v>
      </c>
      <c r="F477" s="211" t="s">
        <v>291</v>
      </c>
      <c r="G477" s="78">
        <v>1</v>
      </c>
      <c r="H477" s="76">
        <v>418</v>
      </c>
      <c r="I477" s="22" t="s">
        <v>678</v>
      </c>
      <c r="J477" s="76"/>
      <c r="K477" s="76"/>
    </row>
    <row r="478" spans="1:11">
      <c r="A478" s="77" t="s">
        <v>238</v>
      </c>
      <c r="B478" s="79" t="s">
        <v>237</v>
      </c>
      <c r="C478" s="205">
        <v>30</v>
      </c>
      <c r="D478" s="138" t="s">
        <v>679</v>
      </c>
      <c r="E478" s="137">
        <v>0</v>
      </c>
      <c r="F478" s="216" t="s">
        <v>307</v>
      </c>
      <c r="G478" s="78">
        <v>9</v>
      </c>
      <c r="H478" s="76">
        <v>427</v>
      </c>
      <c r="I478" s="22"/>
      <c r="J478" s="76"/>
      <c r="K478" s="76"/>
    </row>
    <row r="479" spans="1:11">
      <c r="A479" s="77" t="s">
        <v>238</v>
      </c>
      <c r="B479" s="79" t="s">
        <v>237</v>
      </c>
      <c r="C479" s="206">
        <v>31</v>
      </c>
      <c r="D479" s="138" t="s">
        <v>680</v>
      </c>
      <c r="E479" s="137">
        <v>0</v>
      </c>
      <c r="F479" s="216" t="s">
        <v>307</v>
      </c>
      <c r="G479" s="78">
        <v>9</v>
      </c>
      <c r="H479" s="76">
        <v>436</v>
      </c>
      <c r="I479" s="22"/>
      <c r="J479" s="76"/>
      <c r="K479" s="76"/>
    </row>
    <row r="480" spans="1:11">
      <c r="A480" s="77" t="s">
        <v>238</v>
      </c>
      <c r="B480" s="79" t="s">
        <v>237</v>
      </c>
      <c r="C480" s="205">
        <v>32</v>
      </c>
      <c r="D480" s="138" t="s">
        <v>681</v>
      </c>
      <c r="E480" s="137">
        <v>0</v>
      </c>
      <c r="F480" s="211" t="s">
        <v>291</v>
      </c>
      <c r="G480" s="78">
        <v>4</v>
      </c>
      <c r="H480" s="76">
        <v>440</v>
      </c>
      <c r="I480" s="22" t="s">
        <v>682</v>
      </c>
      <c r="J480" s="76"/>
      <c r="K480" s="76"/>
    </row>
    <row r="481" spans="1:11">
      <c r="A481" s="77" t="s">
        <v>238</v>
      </c>
      <c r="B481" s="79" t="s">
        <v>237</v>
      </c>
      <c r="C481" s="206">
        <v>33</v>
      </c>
      <c r="D481" s="138" t="s">
        <v>683</v>
      </c>
      <c r="E481" s="137">
        <v>0</v>
      </c>
      <c r="F481" s="211" t="s">
        <v>291</v>
      </c>
      <c r="G481" s="78">
        <v>4</v>
      </c>
      <c r="H481" s="76">
        <v>444</v>
      </c>
      <c r="I481" s="22" t="s">
        <v>682</v>
      </c>
      <c r="J481" s="76"/>
      <c r="K481" s="76"/>
    </row>
    <row r="482" spans="1:11">
      <c r="A482" s="77" t="s">
        <v>238</v>
      </c>
      <c r="B482" s="79" t="s">
        <v>237</v>
      </c>
      <c r="C482" s="205">
        <v>34</v>
      </c>
      <c r="D482" s="138" t="s">
        <v>684</v>
      </c>
      <c r="E482" s="137">
        <v>0</v>
      </c>
      <c r="F482" s="216" t="s">
        <v>307</v>
      </c>
      <c r="G482" s="78">
        <v>17</v>
      </c>
      <c r="H482" s="76">
        <v>461</v>
      </c>
      <c r="I482" s="22"/>
      <c r="J482" s="76"/>
      <c r="K482" s="76"/>
    </row>
    <row r="483" spans="1:11">
      <c r="A483" s="77" t="s">
        <v>238</v>
      </c>
      <c r="B483" s="79" t="s">
        <v>237</v>
      </c>
      <c r="C483" s="206">
        <v>35</v>
      </c>
      <c r="D483" s="138" t="s">
        <v>685</v>
      </c>
      <c r="E483" s="137">
        <v>0</v>
      </c>
      <c r="F483" s="216" t="s">
        <v>307</v>
      </c>
      <c r="G483" s="78">
        <v>18</v>
      </c>
      <c r="H483" s="76">
        <v>479</v>
      </c>
      <c r="I483" s="22" t="s">
        <v>346</v>
      </c>
      <c r="J483" s="76"/>
      <c r="K483" s="76"/>
    </row>
    <row r="484" spans="1:11">
      <c r="A484" s="77" t="s">
        <v>238</v>
      </c>
      <c r="B484" s="79" t="s">
        <v>237</v>
      </c>
      <c r="C484" s="205">
        <v>36</v>
      </c>
      <c r="D484" s="138" t="s">
        <v>686</v>
      </c>
      <c r="E484" s="137">
        <v>0</v>
      </c>
      <c r="F484" s="211" t="s">
        <v>291</v>
      </c>
      <c r="G484" s="78">
        <v>1</v>
      </c>
      <c r="H484" s="76">
        <v>480</v>
      </c>
      <c r="I484" s="22" t="s">
        <v>687</v>
      </c>
      <c r="J484" s="76"/>
      <c r="K484" s="76"/>
    </row>
    <row r="485" spans="1:11">
      <c r="A485" s="77" t="s">
        <v>238</v>
      </c>
      <c r="B485" s="79" t="s">
        <v>237</v>
      </c>
      <c r="C485" s="206">
        <v>37</v>
      </c>
      <c r="D485" s="138" t="s">
        <v>688</v>
      </c>
      <c r="E485" s="137">
        <v>0</v>
      </c>
      <c r="F485" s="216" t="s">
        <v>307</v>
      </c>
      <c r="G485" s="78">
        <v>9</v>
      </c>
      <c r="H485" s="76">
        <v>489</v>
      </c>
      <c r="I485" s="22" t="s">
        <v>346</v>
      </c>
      <c r="J485" s="76"/>
      <c r="K485" s="76"/>
    </row>
    <row r="486" spans="1:11" ht="22.5">
      <c r="A486" s="77" t="s">
        <v>238</v>
      </c>
      <c r="B486" s="79" t="s">
        <v>237</v>
      </c>
      <c r="C486" s="205">
        <v>38</v>
      </c>
      <c r="D486" s="138" t="s">
        <v>689</v>
      </c>
      <c r="E486" s="137">
        <v>0</v>
      </c>
      <c r="F486" s="211" t="s">
        <v>291</v>
      </c>
      <c r="G486" s="78">
        <v>1</v>
      </c>
      <c r="H486" s="76">
        <v>490</v>
      </c>
      <c r="I486" s="22" t="s">
        <v>690</v>
      </c>
      <c r="J486" s="76"/>
      <c r="K486" s="76"/>
    </row>
    <row r="487" spans="1:11" ht="45">
      <c r="A487" s="77" t="s">
        <v>238</v>
      </c>
      <c r="B487" s="79" t="s">
        <v>237</v>
      </c>
      <c r="C487" s="206">
        <v>39</v>
      </c>
      <c r="D487" s="138" t="s">
        <v>691</v>
      </c>
      <c r="E487" s="137">
        <v>0</v>
      </c>
      <c r="F487" s="211" t="s">
        <v>291</v>
      </c>
      <c r="G487" s="78">
        <v>1</v>
      </c>
      <c r="H487" s="76">
        <v>491</v>
      </c>
      <c r="I487" s="22" t="s">
        <v>692</v>
      </c>
      <c r="J487" s="76"/>
      <c r="K487" s="76"/>
    </row>
    <row r="488" spans="1:11">
      <c r="A488" s="77" t="s">
        <v>238</v>
      </c>
      <c r="B488" s="79" t="s">
        <v>237</v>
      </c>
      <c r="C488" s="205">
        <v>40</v>
      </c>
      <c r="D488" s="138" t="s">
        <v>693</v>
      </c>
      <c r="E488" s="137">
        <v>0</v>
      </c>
      <c r="F488" s="216" t="s">
        <v>307</v>
      </c>
      <c r="G488" s="78">
        <v>14</v>
      </c>
      <c r="H488" s="76">
        <v>505</v>
      </c>
      <c r="I488" s="22" t="s">
        <v>380</v>
      </c>
      <c r="J488" s="76"/>
      <c r="K488" s="76"/>
    </row>
    <row r="489" spans="1:11">
      <c r="A489" s="77" t="s">
        <v>238</v>
      </c>
      <c r="B489" s="79" t="s">
        <v>237</v>
      </c>
      <c r="C489" s="206">
        <v>41</v>
      </c>
      <c r="D489" s="138" t="s">
        <v>694</v>
      </c>
      <c r="E489" s="137">
        <v>0</v>
      </c>
      <c r="F489" s="216" t="s">
        <v>307</v>
      </c>
      <c r="G489" s="78">
        <v>9</v>
      </c>
      <c r="H489" s="76">
        <v>514</v>
      </c>
      <c r="I489" s="22"/>
      <c r="J489" s="76"/>
      <c r="K489" s="76"/>
    </row>
    <row r="490" spans="1:11">
      <c r="A490" s="77" t="s">
        <v>238</v>
      </c>
      <c r="B490" s="79" t="s">
        <v>237</v>
      </c>
      <c r="C490" s="205">
        <v>42</v>
      </c>
      <c r="D490" s="138" t="s">
        <v>695</v>
      </c>
      <c r="E490" s="137">
        <v>0</v>
      </c>
      <c r="F490" s="216" t="s">
        <v>307</v>
      </c>
      <c r="G490" s="78">
        <v>9</v>
      </c>
      <c r="H490" s="76">
        <v>523</v>
      </c>
      <c r="I490" s="22"/>
      <c r="J490" s="76"/>
      <c r="K490" s="76"/>
    </row>
    <row r="491" spans="1:11">
      <c r="A491" s="77" t="s">
        <v>238</v>
      </c>
      <c r="B491" s="79" t="s">
        <v>237</v>
      </c>
      <c r="C491" s="206">
        <v>43</v>
      </c>
      <c r="D491" s="138" t="s">
        <v>696</v>
      </c>
      <c r="E491" s="137">
        <v>0</v>
      </c>
      <c r="F491" s="211" t="s">
        <v>291</v>
      </c>
      <c r="G491" s="78">
        <v>1</v>
      </c>
      <c r="H491" s="76">
        <v>524</v>
      </c>
      <c r="I491" s="22" t="s">
        <v>697</v>
      </c>
      <c r="J491" s="76"/>
      <c r="K491" s="76"/>
    </row>
    <row r="492" spans="1:11">
      <c r="A492" s="77" t="s">
        <v>238</v>
      </c>
      <c r="B492" s="79" t="s">
        <v>237</v>
      </c>
      <c r="C492" s="205">
        <v>44</v>
      </c>
      <c r="D492" s="138" t="s">
        <v>698</v>
      </c>
      <c r="E492" s="137">
        <v>0</v>
      </c>
      <c r="F492" s="211" t="s">
        <v>291</v>
      </c>
      <c r="G492" s="78">
        <v>8</v>
      </c>
      <c r="H492" s="76">
        <v>532</v>
      </c>
      <c r="I492" s="22" t="s">
        <v>310</v>
      </c>
      <c r="J492" s="76"/>
      <c r="K492" s="76"/>
    </row>
    <row r="493" spans="1:11">
      <c r="A493" s="77" t="s">
        <v>238</v>
      </c>
      <c r="B493" s="79" t="s">
        <v>237</v>
      </c>
      <c r="C493" s="206">
        <v>45</v>
      </c>
      <c r="D493" s="138" t="s">
        <v>699</v>
      </c>
      <c r="E493" s="137">
        <v>0</v>
      </c>
      <c r="F493" s="211" t="s">
        <v>291</v>
      </c>
      <c r="G493" s="78">
        <v>8</v>
      </c>
      <c r="H493" s="76">
        <v>540</v>
      </c>
      <c r="I493" s="22" t="s">
        <v>310</v>
      </c>
      <c r="J493" s="76"/>
      <c r="K493" s="76"/>
    </row>
    <row r="494" spans="1:11">
      <c r="A494" s="77" t="s">
        <v>238</v>
      </c>
      <c r="B494" s="79" t="s">
        <v>237</v>
      </c>
      <c r="C494" s="205">
        <v>46</v>
      </c>
      <c r="D494" s="138" t="s">
        <v>700</v>
      </c>
      <c r="E494" s="137">
        <v>0</v>
      </c>
      <c r="F494" s="211" t="s">
        <v>291</v>
      </c>
      <c r="G494" s="78">
        <v>8</v>
      </c>
      <c r="H494" s="76">
        <v>548</v>
      </c>
      <c r="I494" s="22" t="s">
        <v>310</v>
      </c>
      <c r="J494" s="76"/>
      <c r="K494" s="76"/>
    </row>
    <row r="495" spans="1:11">
      <c r="A495" s="77" t="s">
        <v>238</v>
      </c>
      <c r="B495" s="79" t="s">
        <v>237</v>
      </c>
      <c r="C495" s="206">
        <v>47</v>
      </c>
      <c r="D495" s="138" t="s">
        <v>701</v>
      </c>
      <c r="E495" s="137">
        <v>0</v>
      </c>
      <c r="F495" s="211" t="s">
        <v>291</v>
      </c>
      <c r="G495" s="78">
        <v>8</v>
      </c>
      <c r="H495" s="76">
        <v>556</v>
      </c>
      <c r="I495" s="22" t="s">
        <v>310</v>
      </c>
      <c r="J495" s="76"/>
      <c r="K495" s="76"/>
    </row>
    <row r="496" spans="1:11">
      <c r="A496" s="77" t="s">
        <v>238</v>
      </c>
      <c r="B496" s="79" t="s">
        <v>237</v>
      </c>
      <c r="C496" s="205">
        <v>48</v>
      </c>
      <c r="D496" s="138" t="s">
        <v>702</v>
      </c>
      <c r="E496" s="137">
        <v>0</v>
      </c>
      <c r="F496" s="211" t="s">
        <v>291</v>
      </c>
      <c r="G496" s="78">
        <v>8</v>
      </c>
      <c r="H496" s="76">
        <v>564</v>
      </c>
      <c r="I496" s="22" t="s">
        <v>310</v>
      </c>
      <c r="J496" s="76"/>
      <c r="K496" s="76"/>
    </row>
    <row r="497" spans="1:11">
      <c r="A497" s="77" t="s">
        <v>238</v>
      </c>
      <c r="B497" s="79" t="s">
        <v>237</v>
      </c>
      <c r="C497" s="206">
        <v>49</v>
      </c>
      <c r="D497" s="138" t="s">
        <v>703</v>
      </c>
      <c r="E497" s="137">
        <v>0</v>
      </c>
      <c r="F497" s="211" t="s">
        <v>291</v>
      </c>
      <c r="G497" s="78">
        <v>8</v>
      </c>
      <c r="H497" s="76">
        <v>572</v>
      </c>
      <c r="I497" s="22" t="s">
        <v>310</v>
      </c>
      <c r="J497" s="76"/>
      <c r="K497" s="76"/>
    </row>
    <row r="498" spans="1:11">
      <c r="A498" s="77" t="s">
        <v>238</v>
      </c>
      <c r="B498" s="79" t="s">
        <v>237</v>
      </c>
      <c r="C498" s="205">
        <v>50</v>
      </c>
      <c r="D498" s="138" t="s">
        <v>704</v>
      </c>
      <c r="E498" s="137">
        <v>0</v>
      </c>
      <c r="F498" s="211" t="s">
        <v>291</v>
      </c>
      <c r="G498" s="78">
        <v>8</v>
      </c>
      <c r="H498" s="76">
        <v>580</v>
      </c>
      <c r="I498" s="22" t="s">
        <v>310</v>
      </c>
      <c r="J498" s="76"/>
      <c r="K498" s="76"/>
    </row>
    <row r="499" spans="1:11">
      <c r="A499" s="77" t="s">
        <v>238</v>
      </c>
      <c r="B499" s="79" t="s">
        <v>237</v>
      </c>
      <c r="C499" s="206">
        <v>51</v>
      </c>
      <c r="D499" s="138" t="s">
        <v>705</v>
      </c>
      <c r="E499" s="137">
        <v>0</v>
      </c>
      <c r="F499" s="211" t="s">
        <v>291</v>
      </c>
      <c r="G499" s="78">
        <v>8</v>
      </c>
      <c r="H499" s="76">
        <v>588</v>
      </c>
      <c r="I499" s="22" t="s">
        <v>310</v>
      </c>
      <c r="J499" s="76"/>
      <c r="K499" s="76"/>
    </row>
    <row r="500" spans="1:11">
      <c r="A500" s="77" t="s">
        <v>238</v>
      </c>
      <c r="B500" s="79" t="s">
        <v>237</v>
      </c>
      <c r="C500" s="205">
        <v>52</v>
      </c>
      <c r="D500" s="138" t="s">
        <v>706</v>
      </c>
      <c r="E500" s="137">
        <v>0</v>
      </c>
      <c r="F500" s="211" t="s">
        <v>291</v>
      </c>
      <c r="G500" s="78">
        <v>8</v>
      </c>
      <c r="H500" s="76">
        <v>596</v>
      </c>
      <c r="I500" s="22" t="s">
        <v>310</v>
      </c>
      <c r="J500" s="76"/>
      <c r="K500" s="76"/>
    </row>
    <row r="501" spans="1:11">
      <c r="A501" s="77" t="s">
        <v>238</v>
      </c>
      <c r="B501" s="79" t="s">
        <v>237</v>
      </c>
      <c r="C501" s="206">
        <v>53</v>
      </c>
      <c r="D501" s="138" t="s">
        <v>707</v>
      </c>
      <c r="E501" s="137">
        <v>0</v>
      </c>
      <c r="F501" s="211" t="s">
        <v>291</v>
      </c>
      <c r="G501" s="78">
        <v>8</v>
      </c>
      <c r="H501" s="76">
        <v>604</v>
      </c>
      <c r="I501" s="22" t="s">
        <v>310</v>
      </c>
      <c r="J501" s="76"/>
      <c r="K501" s="76"/>
    </row>
    <row r="502" spans="1:11">
      <c r="A502" s="77" t="s">
        <v>238</v>
      </c>
      <c r="B502" s="79" t="s">
        <v>237</v>
      </c>
      <c r="C502" s="205">
        <v>54</v>
      </c>
      <c r="D502" s="138" t="s">
        <v>708</v>
      </c>
      <c r="E502" s="137">
        <v>0</v>
      </c>
      <c r="F502" s="211" t="s">
        <v>291</v>
      </c>
      <c r="G502" s="78">
        <v>1</v>
      </c>
      <c r="H502" s="76">
        <v>605</v>
      </c>
      <c r="I502" s="22" t="s">
        <v>709</v>
      </c>
      <c r="J502" s="76"/>
      <c r="K502" s="76"/>
    </row>
    <row r="503" spans="1:11" ht="101.25">
      <c r="A503" s="77" t="s">
        <v>238</v>
      </c>
      <c r="B503" s="79" t="s">
        <v>237</v>
      </c>
      <c r="C503" s="206">
        <v>55</v>
      </c>
      <c r="D503" s="138" t="s">
        <v>710</v>
      </c>
      <c r="E503" s="137">
        <v>0</v>
      </c>
      <c r="F503" s="211" t="s">
        <v>291</v>
      </c>
      <c r="G503" s="78">
        <v>2</v>
      </c>
      <c r="H503" s="76">
        <v>607</v>
      </c>
      <c r="I503" s="22" t="s">
        <v>711</v>
      </c>
      <c r="J503" s="76"/>
      <c r="K503" s="76"/>
    </row>
    <row r="504" spans="1:11">
      <c r="A504" s="77" t="s">
        <v>238</v>
      </c>
      <c r="B504" s="79" t="s">
        <v>237</v>
      </c>
      <c r="C504" s="205">
        <v>56</v>
      </c>
      <c r="D504" s="138" t="s">
        <v>712</v>
      </c>
      <c r="E504" s="137">
        <v>0</v>
      </c>
      <c r="F504" s="211" t="s">
        <v>291</v>
      </c>
      <c r="G504" s="78">
        <v>8</v>
      </c>
      <c r="H504" s="76">
        <v>615</v>
      </c>
      <c r="I504" s="22" t="s">
        <v>310</v>
      </c>
      <c r="J504" s="76"/>
      <c r="K504" s="76"/>
    </row>
    <row r="505" spans="1:11">
      <c r="A505" s="77" t="s">
        <v>238</v>
      </c>
      <c r="B505" s="79" t="s">
        <v>237</v>
      </c>
      <c r="C505" s="206">
        <v>57</v>
      </c>
      <c r="D505" s="138" t="s">
        <v>713</v>
      </c>
      <c r="E505" s="137">
        <v>0</v>
      </c>
      <c r="F505" s="211" t="s">
        <v>291</v>
      </c>
      <c r="G505" s="78">
        <v>2</v>
      </c>
      <c r="H505" s="76">
        <v>617</v>
      </c>
      <c r="I505" s="22" t="s">
        <v>714</v>
      </c>
      <c r="J505" s="76"/>
      <c r="K505" s="76"/>
    </row>
    <row r="506" spans="1:11">
      <c r="A506" s="77" t="s">
        <v>238</v>
      </c>
      <c r="B506" s="79" t="s">
        <v>237</v>
      </c>
      <c r="C506" s="205">
        <v>58</v>
      </c>
      <c r="D506" s="138" t="s">
        <v>715</v>
      </c>
      <c r="E506" s="137">
        <v>0</v>
      </c>
      <c r="F506" s="211" t="s">
        <v>291</v>
      </c>
      <c r="G506" s="78">
        <v>8</v>
      </c>
      <c r="H506" s="76">
        <v>625</v>
      </c>
      <c r="I506" s="22" t="s">
        <v>310</v>
      </c>
      <c r="J506" s="76"/>
      <c r="K506" s="76"/>
    </row>
    <row r="507" spans="1:11">
      <c r="A507" s="77" t="s">
        <v>238</v>
      </c>
      <c r="B507" s="79" t="s">
        <v>237</v>
      </c>
      <c r="C507" s="206">
        <v>59</v>
      </c>
      <c r="D507" s="138" t="s">
        <v>716</v>
      </c>
      <c r="E507" s="137">
        <v>0</v>
      </c>
      <c r="F507" s="211" t="s">
        <v>291</v>
      </c>
      <c r="G507" s="78">
        <v>2</v>
      </c>
      <c r="H507" s="76">
        <v>627</v>
      </c>
      <c r="I507" s="22" t="s">
        <v>714</v>
      </c>
      <c r="J507" s="76"/>
      <c r="K507" s="76"/>
    </row>
    <row r="508" spans="1:11">
      <c r="A508" s="77" t="s">
        <v>238</v>
      </c>
      <c r="B508" s="79" t="s">
        <v>237</v>
      </c>
      <c r="C508" s="205">
        <v>60</v>
      </c>
      <c r="D508" s="138" t="s">
        <v>717</v>
      </c>
      <c r="E508" s="137">
        <v>0</v>
      </c>
      <c r="F508" s="211" t="s">
        <v>291</v>
      </c>
      <c r="G508" s="78">
        <v>8</v>
      </c>
      <c r="H508" s="76">
        <v>635</v>
      </c>
      <c r="I508" s="22" t="s">
        <v>310</v>
      </c>
      <c r="J508" s="76"/>
      <c r="K508" s="76"/>
    </row>
    <row r="509" spans="1:11">
      <c r="A509" s="77" t="s">
        <v>238</v>
      </c>
      <c r="B509" s="79" t="s">
        <v>237</v>
      </c>
      <c r="C509" s="206">
        <v>61</v>
      </c>
      <c r="D509" s="138" t="s">
        <v>718</v>
      </c>
      <c r="E509" s="137">
        <v>0</v>
      </c>
      <c r="F509" s="211" t="s">
        <v>291</v>
      </c>
      <c r="G509" s="78">
        <v>2</v>
      </c>
      <c r="H509" s="76">
        <v>637</v>
      </c>
      <c r="I509" s="22" t="s">
        <v>714</v>
      </c>
      <c r="J509" s="76"/>
      <c r="K509" s="76"/>
    </row>
    <row r="510" spans="1:11">
      <c r="A510" s="77" t="s">
        <v>238</v>
      </c>
      <c r="B510" s="79" t="s">
        <v>237</v>
      </c>
      <c r="C510" s="205">
        <v>62</v>
      </c>
      <c r="D510" s="138" t="s">
        <v>719</v>
      </c>
      <c r="E510" s="137">
        <v>0</v>
      </c>
      <c r="F510" s="211" t="s">
        <v>291</v>
      </c>
      <c r="G510" s="78">
        <v>8</v>
      </c>
      <c r="H510" s="76">
        <v>645</v>
      </c>
      <c r="I510" s="22" t="s">
        <v>310</v>
      </c>
      <c r="J510" s="76"/>
      <c r="K510" s="76"/>
    </row>
    <row r="511" spans="1:11">
      <c r="A511" s="77" t="s">
        <v>238</v>
      </c>
      <c r="B511" s="79" t="s">
        <v>237</v>
      </c>
      <c r="C511" s="206">
        <v>63</v>
      </c>
      <c r="D511" s="138" t="s">
        <v>720</v>
      </c>
      <c r="E511" s="137">
        <v>0</v>
      </c>
      <c r="F511" s="211" t="s">
        <v>291</v>
      </c>
      <c r="G511" s="78">
        <v>2</v>
      </c>
      <c r="H511" s="76">
        <v>647</v>
      </c>
      <c r="I511" s="22" t="s">
        <v>714</v>
      </c>
      <c r="J511" s="76"/>
      <c r="K511" s="76"/>
    </row>
    <row r="512" spans="1:11">
      <c r="A512" s="77" t="s">
        <v>238</v>
      </c>
      <c r="B512" s="79" t="s">
        <v>237</v>
      </c>
      <c r="C512" s="205">
        <v>64</v>
      </c>
      <c r="D512" s="138" t="s">
        <v>721</v>
      </c>
      <c r="E512" s="137">
        <v>0</v>
      </c>
      <c r="F512" s="211" t="s">
        <v>291</v>
      </c>
      <c r="G512" s="78">
        <v>8</v>
      </c>
      <c r="H512" s="76">
        <v>655</v>
      </c>
      <c r="I512" s="22" t="s">
        <v>310</v>
      </c>
      <c r="J512" s="76"/>
      <c r="K512" s="76"/>
    </row>
    <row r="513" spans="1:11">
      <c r="A513" s="77" t="s">
        <v>238</v>
      </c>
      <c r="B513" s="79" t="s">
        <v>237</v>
      </c>
      <c r="C513" s="206">
        <v>65</v>
      </c>
      <c r="D513" s="138" t="s">
        <v>722</v>
      </c>
      <c r="E513" s="137">
        <v>0</v>
      </c>
      <c r="F513" s="211" t="s">
        <v>291</v>
      </c>
      <c r="G513" s="78">
        <v>2</v>
      </c>
      <c r="H513" s="76">
        <v>657</v>
      </c>
      <c r="I513" s="22" t="s">
        <v>714</v>
      </c>
      <c r="J513" s="76"/>
      <c r="K513" s="76"/>
    </row>
    <row r="514" spans="1:11">
      <c r="A514" s="77" t="s">
        <v>238</v>
      </c>
      <c r="B514" s="79" t="s">
        <v>237</v>
      </c>
      <c r="C514" s="205">
        <v>66</v>
      </c>
      <c r="D514" s="138" t="s">
        <v>723</v>
      </c>
      <c r="E514" s="137">
        <v>0</v>
      </c>
      <c r="F514" s="211" t="s">
        <v>291</v>
      </c>
      <c r="G514" s="78">
        <v>8</v>
      </c>
      <c r="H514" s="76">
        <v>665</v>
      </c>
      <c r="I514" s="22" t="s">
        <v>310</v>
      </c>
      <c r="J514" s="76"/>
      <c r="K514" s="76"/>
    </row>
    <row r="515" spans="1:11">
      <c r="A515" s="77" t="s">
        <v>238</v>
      </c>
      <c r="B515" s="79" t="s">
        <v>237</v>
      </c>
      <c r="C515" s="206">
        <v>67</v>
      </c>
      <c r="D515" s="138" t="s">
        <v>724</v>
      </c>
      <c r="E515" s="137">
        <v>0</v>
      </c>
      <c r="F515" s="211" t="s">
        <v>291</v>
      </c>
      <c r="G515" s="78">
        <v>2</v>
      </c>
      <c r="H515" s="76">
        <v>667</v>
      </c>
      <c r="I515" s="22" t="s">
        <v>714</v>
      </c>
      <c r="J515" s="76"/>
      <c r="K515" s="76"/>
    </row>
    <row r="516" spans="1:11">
      <c r="A516" s="77" t="s">
        <v>238</v>
      </c>
      <c r="B516" s="79" t="s">
        <v>237</v>
      </c>
      <c r="C516" s="205">
        <v>68</v>
      </c>
      <c r="D516" s="138" t="s">
        <v>725</v>
      </c>
      <c r="E516" s="137">
        <v>0</v>
      </c>
      <c r="F516" s="211" t="s">
        <v>291</v>
      </c>
      <c r="G516" s="78">
        <v>8</v>
      </c>
      <c r="H516" s="76">
        <v>675</v>
      </c>
      <c r="I516" s="22" t="s">
        <v>310</v>
      </c>
      <c r="J516" s="76"/>
      <c r="K516" s="76"/>
    </row>
    <row r="517" spans="1:11">
      <c r="A517" s="77" t="s">
        <v>238</v>
      </c>
      <c r="B517" s="79" t="s">
        <v>237</v>
      </c>
      <c r="C517" s="206">
        <v>69</v>
      </c>
      <c r="D517" s="138" t="s">
        <v>726</v>
      </c>
      <c r="E517" s="137">
        <v>0</v>
      </c>
      <c r="F517" s="211" t="s">
        <v>291</v>
      </c>
      <c r="G517" s="78">
        <v>2</v>
      </c>
      <c r="H517" s="76">
        <v>677</v>
      </c>
      <c r="I517" s="22" t="s">
        <v>714</v>
      </c>
      <c r="J517" s="76"/>
      <c r="K517" s="76"/>
    </row>
    <row r="518" spans="1:11">
      <c r="A518" s="77" t="s">
        <v>238</v>
      </c>
      <c r="B518" s="79" t="s">
        <v>237</v>
      </c>
      <c r="C518" s="205">
        <v>70</v>
      </c>
      <c r="D518" s="138" t="s">
        <v>727</v>
      </c>
      <c r="E518" s="137">
        <v>0</v>
      </c>
      <c r="F518" s="211" t="s">
        <v>291</v>
      </c>
      <c r="G518" s="78">
        <v>8</v>
      </c>
      <c r="H518" s="76">
        <v>685</v>
      </c>
      <c r="I518" s="22" t="s">
        <v>310</v>
      </c>
      <c r="J518" s="76"/>
      <c r="K518" s="76"/>
    </row>
    <row r="519" spans="1:11">
      <c r="A519" s="77" t="s">
        <v>238</v>
      </c>
      <c r="B519" s="79" t="s">
        <v>237</v>
      </c>
      <c r="C519" s="206">
        <v>71</v>
      </c>
      <c r="D519" s="138" t="s">
        <v>728</v>
      </c>
      <c r="E519" s="137">
        <v>0</v>
      </c>
      <c r="F519" s="211" t="s">
        <v>291</v>
      </c>
      <c r="G519" s="78">
        <v>2</v>
      </c>
      <c r="H519" s="76">
        <v>687</v>
      </c>
      <c r="I519" s="22" t="s">
        <v>714</v>
      </c>
      <c r="J519" s="76"/>
      <c r="K519" s="76"/>
    </row>
    <row r="520" spans="1:11">
      <c r="A520" s="77" t="s">
        <v>238</v>
      </c>
      <c r="B520" s="79" t="s">
        <v>237</v>
      </c>
      <c r="C520" s="205">
        <v>72</v>
      </c>
      <c r="D520" s="138" t="s">
        <v>729</v>
      </c>
      <c r="E520" s="137">
        <v>0</v>
      </c>
      <c r="F520" s="211" t="s">
        <v>291</v>
      </c>
      <c r="G520" s="78">
        <v>8</v>
      </c>
      <c r="H520" s="76">
        <v>695</v>
      </c>
      <c r="I520" s="22" t="s">
        <v>310</v>
      </c>
      <c r="J520" s="76"/>
      <c r="K520" s="76"/>
    </row>
    <row r="521" spans="1:11">
      <c r="A521" s="77" t="s">
        <v>238</v>
      </c>
      <c r="B521" s="79" t="s">
        <v>237</v>
      </c>
      <c r="C521" s="206">
        <v>73</v>
      </c>
      <c r="D521" s="138" t="s">
        <v>730</v>
      </c>
      <c r="E521" s="137">
        <v>0</v>
      </c>
      <c r="F521" s="211" t="s">
        <v>291</v>
      </c>
      <c r="G521" s="78">
        <v>2</v>
      </c>
      <c r="H521" s="76">
        <v>697</v>
      </c>
      <c r="I521" s="22" t="s">
        <v>714</v>
      </c>
      <c r="J521" s="85"/>
      <c r="K521" s="76"/>
    </row>
    <row r="522" spans="1:11">
      <c r="A522" s="77" t="s">
        <v>238</v>
      </c>
      <c r="B522" s="79" t="s">
        <v>237</v>
      </c>
      <c r="C522" s="205">
        <v>74</v>
      </c>
      <c r="D522" s="138" t="s">
        <v>731</v>
      </c>
      <c r="E522" s="137">
        <v>0</v>
      </c>
      <c r="F522" s="211" t="s">
        <v>291</v>
      </c>
      <c r="G522" s="78">
        <v>8</v>
      </c>
      <c r="H522" s="76">
        <v>705</v>
      </c>
      <c r="I522" s="22" t="s">
        <v>310</v>
      </c>
      <c r="J522" s="85"/>
      <c r="K522" s="76"/>
    </row>
    <row r="523" spans="1:11">
      <c r="A523" s="77" t="s">
        <v>238</v>
      </c>
      <c r="B523" s="79" t="s">
        <v>237</v>
      </c>
      <c r="C523" s="206">
        <v>75</v>
      </c>
      <c r="D523" s="138" t="s">
        <v>732</v>
      </c>
      <c r="E523" s="137">
        <v>0</v>
      </c>
      <c r="F523" s="211" t="s">
        <v>291</v>
      </c>
      <c r="G523" s="78">
        <v>2</v>
      </c>
      <c r="H523" s="76">
        <v>707</v>
      </c>
      <c r="I523" s="22" t="s">
        <v>714</v>
      </c>
      <c r="J523" s="85"/>
      <c r="K523" s="76"/>
    </row>
    <row r="524" spans="1:11">
      <c r="A524" s="77" t="s">
        <v>238</v>
      </c>
      <c r="B524" s="79" t="s">
        <v>237</v>
      </c>
      <c r="C524" s="205">
        <v>76</v>
      </c>
      <c r="D524" s="138" t="s">
        <v>733</v>
      </c>
      <c r="E524" s="137">
        <v>0</v>
      </c>
      <c r="F524" s="211" t="s">
        <v>291</v>
      </c>
      <c r="G524" s="78">
        <v>8</v>
      </c>
      <c r="H524" s="76">
        <v>715</v>
      </c>
      <c r="I524" s="22" t="s">
        <v>310</v>
      </c>
      <c r="J524" s="85"/>
      <c r="K524" s="76"/>
    </row>
    <row r="525" spans="1:11">
      <c r="A525" s="77" t="s">
        <v>238</v>
      </c>
      <c r="B525" s="79" t="s">
        <v>237</v>
      </c>
      <c r="C525" s="206">
        <v>77</v>
      </c>
      <c r="D525" s="138" t="s">
        <v>734</v>
      </c>
      <c r="E525" s="137">
        <v>0</v>
      </c>
      <c r="F525" s="211" t="s">
        <v>291</v>
      </c>
      <c r="G525" s="78">
        <v>2</v>
      </c>
      <c r="H525" s="76">
        <v>717</v>
      </c>
      <c r="I525" s="22" t="s">
        <v>714</v>
      </c>
      <c r="J525" s="85"/>
      <c r="K525" s="76"/>
    </row>
    <row r="526" spans="1:11">
      <c r="A526" s="77" t="s">
        <v>238</v>
      </c>
      <c r="B526" s="79" t="s">
        <v>237</v>
      </c>
      <c r="C526" s="205">
        <v>78</v>
      </c>
      <c r="D526" s="138" t="s">
        <v>735</v>
      </c>
      <c r="E526" s="137">
        <v>0</v>
      </c>
      <c r="F526" s="211" t="s">
        <v>291</v>
      </c>
      <c r="G526" s="78">
        <v>8</v>
      </c>
      <c r="H526" s="76">
        <v>725</v>
      </c>
      <c r="I526" s="22" t="s">
        <v>310</v>
      </c>
      <c r="J526" s="85"/>
      <c r="K526" s="76"/>
    </row>
    <row r="527" spans="1:11">
      <c r="A527" s="77" t="s">
        <v>238</v>
      </c>
      <c r="B527" s="79" t="s">
        <v>237</v>
      </c>
      <c r="C527" s="206">
        <v>79</v>
      </c>
      <c r="D527" s="138" t="s">
        <v>736</v>
      </c>
      <c r="E527" s="137">
        <v>0</v>
      </c>
      <c r="F527" s="211" t="s">
        <v>291</v>
      </c>
      <c r="G527" s="78">
        <v>2</v>
      </c>
      <c r="H527" s="76">
        <v>727</v>
      </c>
      <c r="I527" s="22" t="s">
        <v>714</v>
      </c>
      <c r="J527" s="85"/>
      <c r="K527" s="76"/>
    </row>
    <row r="528" spans="1:11">
      <c r="A528" s="77" t="s">
        <v>238</v>
      </c>
      <c r="B528" s="79" t="s">
        <v>237</v>
      </c>
      <c r="C528" s="205">
        <v>80</v>
      </c>
      <c r="D528" s="138" t="s">
        <v>737</v>
      </c>
      <c r="E528" s="137">
        <v>0</v>
      </c>
      <c r="F528" s="211" t="s">
        <v>291</v>
      </c>
      <c r="G528" s="78">
        <v>8</v>
      </c>
      <c r="H528" s="76">
        <v>735</v>
      </c>
      <c r="I528" s="22" t="s">
        <v>310</v>
      </c>
      <c r="J528" s="85"/>
      <c r="K528" s="76"/>
    </row>
    <row r="529" spans="1:11">
      <c r="A529" s="77" t="s">
        <v>238</v>
      </c>
      <c r="B529" s="79" t="s">
        <v>237</v>
      </c>
      <c r="C529" s="206">
        <v>81</v>
      </c>
      <c r="D529" s="138" t="s">
        <v>738</v>
      </c>
      <c r="E529" s="137">
        <v>0</v>
      </c>
      <c r="F529" s="211" t="s">
        <v>291</v>
      </c>
      <c r="G529" s="78">
        <v>2</v>
      </c>
      <c r="H529" s="76">
        <v>737</v>
      </c>
      <c r="I529" s="22" t="s">
        <v>714</v>
      </c>
      <c r="J529" s="85"/>
      <c r="K529" s="76"/>
    </row>
    <row r="530" spans="1:11">
      <c r="A530" s="77" t="s">
        <v>238</v>
      </c>
      <c r="B530" s="79" t="s">
        <v>237</v>
      </c>
      <c r="C530" s="205">
        <v>82</v>
      </c>
      <c r="D530" s="138" t="s">
        <v>739</v>
      </c>
      <c r="E530" s="137">
        <v>0</v>
      </c>
      <c r="F530" s="211" t="s">
        <v>291</v>
      </c>
      <c r="G530" s="78">
        <v>8</v>
      </c>
      <c r="H530" s="76">
        <v>745</v>
      </c>
      <c r="I530" s="22" t="s">
        <v>310</v>
      </c>
      <c r="J530" s="85"/>
      <c r="K530" s="76"/>
    </row>
    <row r="531" spans="1:11">
      <c r="A531" s="77" t="s">
        <v>238</v>
      </c>
      <c r="B531" s="79" t="s">
        <v>237</v>
      </c>
      <c r="C531" s="206">
        <v>83</v>
      </c>
      <c r="D531" s="138" t="s">
        <v>740</v>
      </c>
      <c r="E531" s="137">
        <v>0</v>
      </c>
      <c r="F531" s="211" t="s">
        <v>291</v>
      </c>
      <c r="G531" s="78">
        <v>2</v>
      </c>
      <c r="H531" s="76">
        <v>747</v>
      </c>
      <c r="I531" s="22" t="s">
        <v>714</v>
      </c>
      <c r="J531" s="85"/>
      <c r="K531" s="76"/>
    </row>
    <row r="532" spans="1:11">
      <c r="A532" s="77" t="s">
        <v>238</v>
      </c>
      <c r="B532" s="79" t="s">
        <v>237</v>
      </c>
      <c r="C532" s="205">
        <v>84</v>
      </c>
      <c r="D532" s="138" t="s">
        <v>741</v>
      </c>
      <c r="E532" s="137">
        <v>0</v>
      </c>
      <c r="F532" s="211" t="s">
        <v>291</v>
      </c>
      <c r="G532" s="78">
        <v>8</v>
      </c>
      <c r="H532" s="76">
        <v>755</v>
      </c>
      <c r="I532" s="22" t="s">
        <v>310</v>
      </c>
      <c r="J532" s="85"/>
      <c r="K532" s="76"/>
    </row>
    <row r="533" spans="1:11">
      <c r="A533" s="77" t="s">
        <v>238</v>
      </c>
      <c r="B533" s="79" t="s">
        <v>237</v>
      </c>
      <c r="C533" s="206">
        <v>85</v>
      </c>
      <c r="D533" s="138" t="s">
        <v>742</v>
      </c>
      <c r="E533" s="137">
        <v>0</v>
      </c>
      <c r="F533" s="211" t="s">
        <v>291</v>
      </c>
      <c r="G533" s="78">
        <v>1</v>
      </c>
      <c r="H533" s="76">
        <v>756</v>
      </c>
      <c r="I533" s="22" t="s">
        <v>605</v>
      </c>
      <c r="J533" s="85"/>
      <c r="K533" s="76"/>
    </row>
    <row r="534" spans="1:11" ht="22.5">
      <c r="A534" s="77" t="s">
        <v>238</v>
      </c>
      <c r="B534" s="79" t="s">
        <v>237</v>
      </c>
      <c r="C534" s="205">
        <v>86</v>
      </c>
      <c r="D534" s="138" t="s">
        <v>743</v>
      </c>
      <c r="E534" s="137">
        <v>0</v>
      </c>
      <c r="F534" s="211" t="s">
        <v>291</v>
      </c>
      <c r="G534" s="78">
        <v>1</v>
      </c>
      <c r="H534" s="76">
        <v>757</v>
      </c>
      <c r="I534" s="22" t="s">
        <v>744</v>
      </c>
      <c r="J534" s="85"/>
      <c r="K534" s="76"/>
    </row>
    <row r="535" spans="1:11">
      <c r="A535" s="77" t="s">
        <v>238</v>
      </c>
      <c r="B535" s="79" t="s">
        <v>237</v>
      </c>
      <c r="C535" s="206">
        <v>87</v>
      </c>
      <c r="D535" s="138" t="s">
        <v>745</v>
      </c>
      <c r="E535" s="137">
        <v>0</v>
      </c>
      <c r="F535" s="211" t="s">
        <v>291</v>
      </c>
      <c r="G535" s="78">
        <v>2</v>
      </c>
      <c r="H535" s="76">
        <v>759</v>
      </c>
      <c r="I535" s="22" t="s">
        <v>746</v>
      </c>
      <c r="J535" s="85"/>
      <c r="K535" s="76"/>
    </row>
    <row r="536" spans="1:11">
      <c r="A536" s="77" t="s">
        <v>238</v>
      </c>
      <c r="B536" s="79" t="s">
        <v>237</v>
      </c>
      <c r="C536" s="205">
        <v>88</v>
      </c>
      <c r="D536" s="138" t="s">
        <v>747</v>
      </c>
      <c r="E536" s="137">
        <v>0</v>
      </c>
      <c r="F536" s="211" t="s">
        <v>291</v>
      </c>
      <c r="G536" s="78">
        <v>2</v>
      </c>
      <c r="H536" s="76">
        <v>761</v>
      </c>
      <c r="I536" s="22" t="s">
        <v>746</v>
      </c>
      <c r="J536" s="85"/>
      <c r="K536" s="76"/>
    </row>
    <row r="537" spans="1:11">
      <c r="A537" s="77" t="s">
        <v>238</v>
      </c>
      <c r="B537" s="79" t="s">
        <v>237</v>
      </c>
      <c r="C537" s="206">
        <v>89</v>
      </c>
      <c r="D537" s="138" t="s">
        <v>748</v>
      </c>
      <c r="E537" s="137">
        <v>0</v>
      </c>
      <c r="F537" s="211" t="s">
        <v>291</v>
      </c>
      <c r="G537" s="78">
        <v>3</v>
      </c>
      <c r="H537" s="76">
        <v>764</v>
      </c>
      <c r="I537" s="22" t="s">
        <v>746</v>
      </c>
      <c r="J537" s="85"/>
      <c r="K537" s="76"/>
    </row>
    <row r="538" spans="1:11">
      <c r="A538" s="77" t="s">
        <v>238</v>
      </c>
      <c r="B538" s="79" t="s">
        <v>237</v>
      </c>
      <c r="C538" s="205">
        <v>90</v>
      </c>
      <c r="D538" s="138" t="s">
        <v>749</v>
      </c>
      <c r="E538" s="137">
        <v>0</v>
      </c>
      <c r="F538" s="211" t="s">
        <v>291</v>
      </c>
      <c r="G538" s="78">
        <v>1</v>
      </c>
      <c r="H538" s="76">
        <v>765</v>
      </c>
      <c r="I538" s="22" t="s">
        <v>750</v>
      </c>
      <c r="J538" s="85"/>
      <c r="K538" s="76"/>
    </row>
    <row r="539" spans="1:11">
      <c r="A539" s="77" t="s">
        <v>238</v>
      </c>
      <c r="B539" s="79" t="s">
        <v>237</v>
      </c>
      <c r="C539" s="206">
        <v>91</v>
      </c>
      <c r="D539" s="138" t="s">
        <v>751</v>
      </c>
      <c r="E539" s="137">
        <v>0</v>
      </c>
      <c r="F539" s="211" t="s">
        <v>291</v>
      </c>
      <c r="G539" s="78">
        <v>1</v>
      </c>
      <c r="H539" s="76">
        <v>766</v>
      </c>
      <c r="I539" s="22" t="s">
        <v>752</v>
      </c>
      <c r="J539" s="85"/>
      <c r="K539" s="76"/>
    </row>
    <row r="540" spans="1:11">
      <c r="A540" s="77" t="s">
        <v>238</v>
      </c>
      <c r="B540" s="79" t="s">
        <v>237</v>
      </c>
      <c r="C540" s="205">
        <v>92</v>
      </c>
      <c r="D540" s="138" t="s">
        <v>753</v>
      </c>
      <c r="E540" s="137">
        <v>0</v>
      </c>
      <c r="F540" s="211" t="s">
        <v>291</v>
      </c>
      <c r="G540" s="78">
        <v>1</v>
      </c>
      <c r="H540" s="76">
        <v>767</v>
      </c>
      <c r="I540" s="22" t="s">
        <v>754</v>
      </c>
      <c r="J540" s="85"/>
      <c r="K540" s="76"/>
    </row>
    <row r="541" spans="1:11">
      <c r="A541" s="77" t="s">
        <v>238</v>
      </c>
      <c r="B541" s="79" t="s">
        <v>237</v>
      </c>
      <c r="C541" s="206">
        <v>93</v>
      </c>
      <c r="D541" s="138" t="s">
        <v>320</v>
      </c>
      <c r="E541" s="137">
        <v>0</v>
      </c>
      <c r="F541" s="211" t="s">
        <v>291</v>
      </c>
      <c r="G541" s="78">
        <v>132</v>
      </c>
      <c r="H541" s="76">
        <v>899</v>
      </c>
      <c r="I541" s="22" t="s">
        <v>321</v>
      </c>
      <c r="J541" s="85"/>
      <c r="K541" s="76"/>
    </row>
    <row r="542" spans="1:11">
      <c r="A542" s="77" t="s">
        <v>238</v>
      </c>
      <c r="B542" s="80" t="s">
        <v>237</v>
      </c>
      <c r="C542" s="149">
        <v>94</v>
      </c>
      <c r="D542" s="139" t="s">
        <v>298</v>
      </c>
      <c r="E542" s="72">
        <v>0</v>
      </c>
      <c r="F542" s="215" t="s">
        <v>291</v>
      </c>
      <c r="G542" s="89">
        <v>1</v>
      </c>
      <c r="H542" s="145">
        <v>900</v>
      </c>
      <c r="I542" s="36" t="s">
        <v>299</v>
      </c>
      <c r="J542" s="74"/>
      <c r="K542" s="74"/>
    </row>
    <row r="543" spans="1:11">
      <c r="A543" s="77" t="s">
        <v>755</v>
      </c>
      <c r="B543" s="79" t="s">
        <v>229</v>
      </c>
      <c r="C543" s="76">
        <v>1</v>
      </c>
      <c r="D543" s="138" t="s">
        <v>290</v>
      </c>
      <c r="E543" s="137">
        <v>0</v>
      </c>
      <c r="F543" s="210" t="s">
        <v>291</v>
      </c>
      <c r="G543" s="133">
        <v>2</v>
      </c>
      <c r="H543" s="76">
        <v>2</v>
      </c>
      <c r="I543" s="75" t="s">
        <v>756</v>
      </c>
      <c r="J543" s="76"/>
      <c r="K543" s="76"/>
    </row>
    <row r="544" spans="1:11">
      <c r="A544" s="188" t="s">
        <v>230</v>
      </c>
      <c r="B544" s="199" t="s">
        <v>229</v>
      </c>
      <c r="C544" s="191">
        <v>2</v>
      </c>
      <c r="D544" s="184" t="s">
        <v>302</v>
      </c>
      <c r="E544" s="196">
        <v>0</v>
      </c>
      <c r="F544" s="214" t="s">
        <v>291</v>
      </c>
      <c r="G544" s="190">
        <v>3</v>
      </c>
      <c r="H544" s="191">
        <f t="shared" ref="H544:H566" si="34">H543+G544</f>
        <v>5</v>
      </c>
      <c r="I544" s="187" t="s">
        <v>641</v>
      </c>
      <c r="J544" s="85"/>
      <c r="K544" s="76"/>
    </row>
    <row r="545" spans="1:11">
      <c r="A545" s="77" t="s">
        <v>230</v>
      </c>
      <c r="B545" s="84" t="s">
        <v>229</v>
      </c>
      <c r="C545" s="206">
        <v>3</v>
      </c>
      <c r="D545" s="138" t="s">
        <v>304</v>
      </c>
      <c r="E545" s="135">
        <v>0</v>
      </c>
      <c r="F545" s="211" t="s">
        <v>291</v>
      </c>
      <c r="G545" s="4">
        <v>12</v>
      </c>
      <c r="H545" s="76">
        <f t="shared" si="34"/>
        <v>17</v>
      </c>
      <c r="I545" s="22" t="s">
        <v>305</v>
      </c>
      <c r="J545" s="85"/>
      <c r="K545" s="76"/>
    </row>
    <row r="546" spans="1:11">
      <c r="A546" s="77" t="s">
        <v>230</v>
      </c>
      <c r="B546" s="84" t="s">
        <v>229</v>
      </c>
      <c r="C546" s="205">
        <v>4</v>
      </c>
      <c r="D546" s="138" t="s">
        <v>412</v>
      </c>
      <c r="E546" s="135">
        <v>0</v>
      </c>
      <c r="F546" s="216" t="s">
        <v>307</v>
      </c>
      <c r="G546" s="4">
        <v>8</v>
      </c>
      <c r="H546" s="23">
        <f t="shared" si="34"/>
        <v>25</v>
      </c>
      <c r="I546" s="22" t="s">
        <v>757</v>
      </c>
      <c r="J546" s="85"/>
      <c r="K546" s="76"/>
    </row>
    <row r="547" spans="1:11">
      <c r="A547" s="77" t="s">
        <v>230</v>
      </c>
      <c r="B547" s="84" t="s">
        <v>229</v>
      </c>
      <c r="C547" s="206">
        <v>5</v>
      </c>
      <c r="D547" s="138" t="s">
        <v>331</v>
      </c>
      <c r="E547" s="135">
        <v>0</v>
      </c>
      <c r="F547" s="211" t="s">
        <v>291</v>
      </c>
      <c r="G547" s="4">
        <v>1</v>
      </c>
      <c r="H547" s="23">
        <f t="shared" si="34"/>
        <v>26</v>
      </c>
      <c r="I547" s="22" t="s">
        <v>758</v>
      </c>
      <c r="J547" s="85"/>
      <c r="K547" s="76"/>
    </row>
    <row r="548" spans="1:11">
      <c r="A548" s="77" t="s">
        <v>230</v>
      </c>
      <c r="B548" s="84" t="s">
        <v>229</v>
      </c>
      <c r="C548" s="205">
        <v>6</v>
      </c>
      <c r="D548" s="138" t="s">
        <v>759</v>
      </c>
      <c r="E548" s="135">
        <v>0</v>
      </c>
      <c r="F548" s="211" t="s">
        <v>291</v>
      </c>
      <c r="G548" s="4">
        <v>6</v>
      </c>
      <c r="H548" s="23">
        <f t="shared" si="34"/>
        <v>32</v>
      </c>
      <c r="I548" s="22" t="s">
        <v>760</v>
      </c>
      <c r="J548" s="85"/>
      <c r="K548" s="76"/>
    </row>
    <row r="549" spans="1:11">
      <c r="A549" s="77" t="s">
        <v>230</v>
      </c>
      <c r="B549" s="84" t="s">
        <v>229</v>
      </c>
      <c r="C549" s="206">
        <v>7</v>
      </c>
      <c r="D549" s="138" t="s">
        <v>761</v>
      </c>
      <c r="E549" s="135">
        <v>0</v>
      </c>
      <c r="F549" s="211" t="s">
        <v>291</v>
      </c>
      <c r="G549" s="4">
        <v>6</v>
      </c>
      <c r="H549" s="23">
        <f t="shared" si="34"/>
        <v>38</v>
      </c>
      <c r="I549" s="22" t="s">
        <v>762</v>
      </c>
      <c r="J549" s="85"/>
      <c r="K549" s="76"/>
    </row>
    <row r="550" spans="1:11">
      <c r="A550" s="77" t="s">
        <v>230</v>
      </c>
      <c r="B550" s="84" t="s">
        <v>229</v>
      </c>
      <c r="C550" s="205">
        <v>8</v>
      </c>
      <c r="D550" s="138" t="s">
        <v>763</v>
      </c>
      <c r="E550" s="135">
        <v>0</v>
      </c>
      <c r="F550" s="211" t="s">
        <v>291</v>
      </c>
      <c r="G550" s="4">
        <v>9</v>
      </c>
      <c r="H550" s="23">
        <f t="shared" si="34"/>
        <v>47</v>
      </c>
      <c r="I550" s="22" t="s">
        <v>764</v>
      </c>
      <c r="J550" s="85"/>
      <c r="K550" s="76"/>
    </row>
    <row r="551" spans="1:11">
      <c r="A551" s="77" t="s">
        <v>230</v>
      </c>
      <c r="B551" s="84" t="s">
        <v>229</v>
      </c>
      <c r="C551" s="206">
        <v>9</v>
      </c>
      <c r="D551" s="138" t="s">
        <v>765</v>
      </c>
      <c r="E551" s="135">
        <v>0</v>
      </c>
      <c r="F551" s="211" t="s">
        <v>291</v>
      </c>
      <c r="G551" s="4">
        <v>1</v>
      </c>
      <c r="H551" s="23">
        <f t="shared" si="34"/>
        <v>48</v>
      </c>
      <c r="I551" s="22" t="s">
        <v>766</v>
      </c>
      <c r="J551" s="85"/>
      <c r="K551" s="76"/>
    </row>
    <row r="552" spans="1:11">
      <c r="A552" s="77" t="s">
        <v>230</v>
      </c>
      <c r="B552" s="84" t="s">
        <v>229</v>
      </c>
      <c r="C552" s="205">
        <v>10</v>
      </c>
      <c r="D552" s="138" t="s">
        <v>345</v>
      </c>
      <c r="E552" s="135">
        <v>0</v>
      </c>
      <c r="F552" s="216" t="s">
        <v>307</v>
      </c>
      <c r="G552" s="4">
        <v>9</v>
      </c>
      <c r="H552" s="23">
        <f t="shared" si="34"/>
        <v>57</v>
      </c>
      <c r="I552" s="22" t="s">
        <v>767</v>
      </c>
      <c r="J552" s="85"/>
      <c r="K552" s="76"/>
    </row>
    <row r="553" spans="1:11">
      <c r="A553" s="77" t="s">
        <v>230</v>
      </c>
      <c r="B553" s="84" t="s">
        <v>229</v>
      </c>
      <c r="C553" s="206">
        <v>11</v>
      </c>
      <c r="D553" s="138" t="s">
        <v>344</v>
      </c>
      <c r="E553" s="135">
        <v>0</v>
      </c>
      <c r="F553" s="216" t="s">
        <v>307</v>
      </c>
      <c r="G553" s="4">
        <v>10</v>
      </c>
      <c r="H553" s="23">
        <f t="shared" si="34"/>
        <v>67</v>
      </c>
      <c r="I553" s="22" t="s">
        <v>768</v>
      </c>
      <c r="J553" s="85"/>
      <c r="K553" s="76"/>
    </row>
    <row r="554" spans="1:11">
      <c r="A554" s="77" t="s">
        <v>230</v>
      </c>
      <c r="B554" s="84" t="s">
        <v>229</v>
      </c>
      <c r="C554" s="205">
        <v>12</v>
      </c>
      <c r="D554" s="138" t="s">
        <v>769</v>
      </c>
      <c r="E554" s="135">
        <v>0</v>
      </c>
      <c r="F554" s="211" t="s">
        <v>291</v>
      </c>
      <c r="G554" s="4">
        <v>6</v>
      </c>
      <c r="H554" s="23">
        <f t="shared" si="34"/>
        <v>73</v>
      </c>
      <c r="I554" s="22" t="s">
        <v>380</v>
      </c>
      <c r="J554" s="85"/>
      <c r="K554" s="76"/>
    </row>
    <row r="555" spans="1:11">
      <c r="A555" s="77" t="s">
        <v>230</v>
      </c>
      <c r="B555" s="84" t="s">
        <v>229</v>
      </c>
      <c r="C555" s="206">
        <v>13</v>
      </c>
      <c r="D555" s="138" t="s">
        <v>770</v>
      </c>
      <c r="E555" s="135">
        <v>0</v>
      </c>
      <c r="F555" s="216" t="s">
        <v>307</v>
      </c>
      <c r="G555" s="4">
        <v>10</v>
      </c>
      <c r="H555" s="23">
        <f t="shared" si="34"/>
        <v>83</v>
      </c>
      <c r="I555" s="22" t="s">
        <v>380</v>
      </c>
      <c r="J555" s="85"/>
      <c r="K555" s="76"/>
    </row>
    <row r="556" spans="1:11">
      <c r="A556" s="77" t="s">
        <v>230</v>
      </c>
      <c r="B556" s="84" t="s">
        <v>229</v>
      </c>
      <c r="C556" s="205">
        <v>14</v>
      </c>
      <c r="D556" s="138" t="s">
        <v>771</v>
      </c>
      <c r="E556" s="135">
        <v>0</v>
      </c>
      <c r="F556" s="216" t="s">
        <v>307</v>
      </c>
      <c r="G556" s="4">
        <v>10</v>
      </c>
      <c r="H556" s="23">
        <f t="shared" si="34"/>
        <v>93</v>
      </c>
      <c r="I556" s="22" t="s">
        <v>380</v>
      </c>
      <c r="J556" s="85"/>
      <c r="K556" s="76"/>
    </row>
    <row r="557" spans="1:11">
      <c r="A557" s="77" t="s">
        <v>230</v>
      </c>
      <c r="B557" s="84" t="s">
        <v>229</v>
      </c>
      <c r="C557" s="206">
        <v>15</v>
      </c>
      <c r="D557" s="138" t="s">
        <v>772</v>
      </c>
      <c r="E557" s="135">
        <v>0</v>
      </c>
      <c r="F557" s="216" t="s">
        <v>307</v>
      </c>
      <c r="G557" s="4">
        <v>9</v>
      </c>
      <c r="H557" s="23">
        <f t="shared" si="34"/>
        <v>102</v>
      </c>
      <c r="I557" s="22"/>
      <c r="J557" s="85"/>
      <c r="K557" s="76"/>
    </row>
    <row r="558" spans="1:11">
      <c r="A558" s="77" t="s">
        <v>230</v>
      </c>
      <c r="B558" s="84" t="s">
        <v>229</v>
      </c>
      <c r="C558" s="205">
        <v>16</v>
      </c>
      <c r="D558" s="138" t="s">
        <v>773</v>
      </c>
      <c r="E558" s="135">
        <v>0</v>
      </c>
      <c r="F558" s="216" t="s">
        <v>307</v>
      </c>
      <c r="G558" s="4">
        <v>10</v>
      </c>
      <c r="H558" s="23">
        <f t="shared" si="34"/>
        <v>112</v>
      </c>
      <c r="I558" s="22" t="s">
        <v>380</v>
      </c>
      <c r="J558" s="85"/>
      <c r="K558" s="76"/>
    </row>
    <row r="559" spans="1:11">
      <c r="A559" s="77" t="s">
        <v>230</v>
      </c>
      <c r="B559" s="84" t="s">
        <v>229</v>
      </c>
      <c r="C559" s="206">
        <v>17</v>
      </c>
      <c r="D559" s="138" t="s">
        <v>774</v>
      </c>
      <c r="E559" s="135">
        <v>0</v>
      </c>
      <c r="F559" s="216" t="s">
        <v>307</v>
      </c>
      <c r="G559" s="4">
        <v>9</v>
      </c>
      <c r="H559" s="23">
        <f t="shared" si="34"/>
        <v>121</v>
      </c>
      <c r="I559" s="22"/>
      <c r="J559" s="85"/>
      <c r="K559" s="76"/>
    </row>
    <row r="560" spans="1:11">
      <c r="A560" s="77" t="s">
        <v>230</v>
      </c>
      <c r="B560" s="84" t="s">
        <v>229</v>
      </c>
      <c r="C560" s="205">
        <v>18</v>
      </c>
      <c r="D560" s="138" t="s">
        <v>775</v>
      </c>
      <c r="E560" s="135">
        <v>0</v>
      </c>
      <c r="F560" s="216" t="s">
        <v>307</v>
      </c>
      <c r="G560" s="4">
        <v>10</v>
      </c>
      <c r="H560" s="23">
        <f t="shared" si="34"/>
        <v>131</v>
      </c>
      <c r="I560" s="22" t="s">
        <v>380</v>
      </c>
      <c r="J560" s="85"/>
      <c r="K560" s="76"/>
    </row>
    <row r="561" spans="1:11">
      <c r="A561" s="77" t="s">
        <v>230</v>
      </c>
      <c r="B561" s="84" t="s">
        <v>229</v>
      </c>
      <c r="C561" s="206">
        <v>19</v>
      </c>
      <c r="D561" s="138" t="s">
        <v>776</v>
      </c>
      <c r="E561" s="135">
        <v>0</v>
      </c>
      <c r="F561" s="216" t="s">
        <v>307</v>
      </c>
      <c r="G561" s="4">
        <v>10</v>
      </c>
      <c r="H561" s="23">
        <f t="shared" si="34"/>
        <v>141</v>
      </c>
      <c r="I561" s="22" t="s">
        <v>777</v>
      </c>
      <c r="J561" s="85"/>
      <c r="K561" s="76"/>
    </row>
    <row r="562" spans="1:11">
      <c r="A562" s="77" t="s">
        <v>230</v>
      </c>
      <c r="B562" s="84" t="s">
        <v>229</v>
      </c>
      <c r="C562" s="205">
        <v>20</v>
      </c>
      <c r="D562" s="138" t="s">
        <v>778</v>
      </c>
      <c r="E562" s="135">
        <v>0</v>
      </c>
      <c r="F562" s="216" t="s">
        <v>307</v>
      </c>
      <c r="G562" s="4">
        <v>10</v>
      </c>
      <c r="H562" s="23">
        <f t="shared" si="34"/>
        <v>151</v>
      </c>
      <c r="I562" s="22" t="s">
        <v>779</v>
      </c>
      <c r="J562" s="85"/>
      <c r="K562" s="76"/>
    </row>
    <row r="563" spans="1:11">
      <c r="A563" s="77" t="s">
        <v>230</v>
      </c>
      <c r="B563" s="84" t="s">
        <v>229</v>
      </c>
      <c r="C563" s="206">
        <v>21</v>
      </c>
      <c r="D563" s="138" t="s">
        <v>780</v>
      </c>
      <c r="E563" s="135">
        <v>0</v>
      </c>
      <c r="F563" s="216" t="s">
        <v>307</v>
      </c>
      <c r="G563" s="4">
        <v>3</v>
      </c>
      <c r="H563" s="23">
        <f t="shared" si="34"/>
        <v>154</v>
      </c>
      <c r="I563" s="22" t="s">
        <v>781</v>
      </c>
      <c r="J563" s="85"/>
      <c r="K563" s="76"/>
    </row>
    <row r="564" spans="1:11">
      <c r="A564" s="77" t="s">
        <v>230</v>
      </c>
      <c r="B564" s="84" t="s">
        <v>229</v>
      </c>
      <c r="C564" s="205">
        <v>22</v>
      </c>
      <c r="D564" s="138" t="s">
        <v>782</v>
      </c>
      <c r="E564" s="135">
        <v>0</v>
      </c>
      <c r="F564" s="211" t="s">
        <v>291</v>
      </c>
      <c r="G564" s="4">
        <v>12</v>
      </c>
      <c r="H564" s="23">
        <f t="shared" si="34"/>
        <v>166</v>
      </c>
      <c r="I564" s="22" t="s">
        <v>321</v>
      </c>
      <c r="J564" s="85"/>
      <c r="K564" s="76"/>
    </row>
    <row r="565" spans="1:11">
      <c r="A565" s="77" t="s">
        <v>230</v>
      </c>
      <c r="B565" s="84" t="s">
        <v>229</v>
      </c>
      <c r="C565" s="206">
        <v>23</v>
      </c>
      <c r="D565" s="138" t="s">
        <v>320</v>
      </c>
      <c r="E565" s="135">
        <v>0</v>
      </c>
      <c r="F565" s="211" t="s">
        <v>291</v>
      </c>
      <c r="G565" s="4">
        <v>33</v>
      </c>
      <c r="H565" s="23">
        <f t="shared" si="34"/>
        <v>199</v>
      </c>
      <c r="I565" s="22" t="s">
        <v>321</v>
      </c>
      <c r="J565" s="85"/>
      <c r="K565" s="76"/>
    </row>
    <row r="566" spans="1:11">
      <c r="A566" s="77" t="s">
        <v>230</v>
      </c>
      <c r="B566" s="80" t="s">
        <v>229</v>
      </c>
      <c r="C566" s="149">
        <v>24</v>
      </c>
      <c r="D566" s="139" t="s">
        <v>298</v>
      </c>
      <c r="E566" s="136">
        <v>0</v>
      </c>
      <c r="F566" s="215" t="s">
        <v>291</v>
      </c>
      <c r="G566" s="134">
        <v>1</v>
      </c>
      <c r="H566" s="74">
        <f t="shared" si="34"/>
        <v>200</v>
      </c>
      <c r="I566" s="36" t="s">
        <v>299</v>
      </c>
      <c r="J566" s="74"/>
      <c r="K566" s="74"/>
    </row>
    <row r="567" spans="1:11">
      <c r="A567" s="77" t="s">
        <v>783</v>
      </c>
      <c r="B567" s="79" t="s">
        <v>784</v>
      </c>
      <c r="C567" s="76">
        <v>1</v>
      </c>
      <c r="D567" s="138" t="s">
        <v>290</v>
      </c>
      <c r="E567" s="137">
        <v>0</v>
      </c>
      <c r="F567" s="210" t="s">
        <v>291</v>
      </c>
      <c r="G567" s="133">
        <v>2</v>
      </c>
      <c r="H567" s="76">
        <v>2</v>
      </c>
      <c r="I567" s="75" t="s">
        <v>785</v>
      </c>
      <c r="J567" s="76"/>
      <c r="K567" s="76"/>
    </row>
    <row r="568" spans="1:11">
      <c r="A568" s="188" t="s">
        <v>232</v>
      </c>
      <c r="B568" s="199" t="s">
        <v>231</v>
      </c>
      <c r="C568" s="191">
        <v>2</v>
      </c>
      <c r="D568" s="184" t="s">
        <v>302</v>
      </c>
      <c r="E568" s="196">
        <v>0</v>
      </c>
      <c r="F568" s="214" t="s">
        <v>291</v>
      </c>
      <c r="G568" s="198">
        <v>3</v>
      </c>
      <c r="H568" s="186">
        <f t="shared" ref="H568:H593" si="35">H567+G568</f>
        <v>5</v>
      </c>
      <c r="I568" s="187" t="s">
        <v>641</v>
      </c>
      <c r="J568" s="85"/>
      <c r="K568" s="76"/>
    </row>
    <row r="569" spans="1:11">
      <c r="A569" s="77" t="s">
        <v>232</v>
      </c>
      <c r="B569" s="84" t="s">
        <v>231</v>
      </c>
      <c r="C569" s="206">
        <v>3</v>
      </c>
      <c r="D569" s="138" t="s">
        <v>304</v>
      </c>
      <c r="E569" s="135">
        <v>0</v>
      </c>
      <c r="F569" s="211" t="s">
        <v>291</v>
      </c>
      <c r="G569" s="4">
        <v>12</v>
      </c>
      <c r="H569" s="23">
        <f t="shared" si="35"/>
        <v>17</v>
      </c>
      <c r="I569" s="22" t="s">
        <v>305</v>
      </c>
      <c r="J569" s="85"/>
      <c r="K569" s="76"/>
    </row>
    <row r="570" spans="1:11">
      <c r="A570" s="77" t="s">
        <v>232</v>
      </c>
      <c r="B570" s="84" t="s">
        <v>231</v>
      </c>
      <c r="C570" s="205">
        <v>4</v>
      </c>
      <c r="D570" s="138" t="s">
        <v>412</v>
      </c>
      <c r="E570" s="135">
        <v>0</v>
      </c>
      <c r="F570" s="216" t="s">
        <v>307</v>
      </c>
      <c r="G570" s="4">
        <v>8</v>
      </c>
      <c r="H570" s="23">
        <f t="shared" si="35"/>
        <v>25</v>
      </c>
      <c r="I570" s="22" t="s">
        <v>757</v>
      </c>
      <c r="J570" s="85"/>
      <c r="K570" s="76"/>
    </row>
    <row r="571" spans="1:11">
      <c r="A571" s="77" t="s">
        <v>232</v>
      </c>
      <c r="B571" s="84" t="s">
        <v>231</v>
      </c>
      <c r="C571" s="206">
        <v>5</v>
      </c>
      <c r="D571" s="138" t="s">
        <v>786</v>
      </c>
      <c r="E571" s="135">
        <v>0</v>
      </c>
      <c r="F571" s="216" t="s">
        <v>307</v>
      </c>
      <c r="G571" s="4">
        <v>6</v>
      </c>
      <c r="H571" s="23">
        <f t="shared" si="35"/>
        <v>31</v>
      </c>
      <c r="I571" s="22" t="s">
        <v>787</v>
      </c>
      <c r="J571" s="85"/>
      <c r="K571" s="76"/>
    </row>
    <row r="572" spans="1:11">
      <c r="A572" s="77" t="s">
        <v>232</v>
      </c>
      <c r="B572" s="84" t="s">
        <v>231</v>
      </c>
      <c r="C572" s="205">
        <v>6</v>
      </c>
      <c r="D572" s="138" t="s">
        <v>788</v>
      </c>
      <c r="E572" s="135">
        <v>0</v>
      </c>
      <c r="F572" s="216" t="s">
        <v>307</v>
      </c>
      <c r="G572" s="4">
        <v>9</v>
      </c>
      <c r="H572" s="23">
        <f t="shared" si="35"/>
        <v>40</v>
      </c>
      <c r="I572" s="22"/>
      <c r="J572" s="85"/>
      <c r="K572" s="76"/>
    </row>
    <row r="573" spans="1:11">
      <c r="A573" s="77" t="s">
        <v>232</v>
      </c>
      <c r="B573" s="84" t="s">
        <v>231</v>
      </c>
      <c r="C573" s="206">
        <v>7</v>
      </c>
      <c r="D573" s="138" t="s">
        <v>789</v>
      </c>
      <c r="E573" s="135">
        <v>0</v>
      </c>
      <c r="F573" s="216" t="s">
        <v>307</v>
      </c>
      <c r="G573" s="4">
        <v>10</v>
      </c>
      <c r="H573" s="23">
        <f t="shared" si="35"/>
        <v>50</v>
      </c>
      <c r="I573" s="22" t="s">
        <v>380</v>
      </c>
      <c r="J573" s="85"/>
      <c r="K573" s="76"/>
    </row>
    <row r="574" spans="1:11">
      <c r="A574" s="77" t="s">
        <v>232</v>
      </c>
      <c r="B574" s="84" t="s">
        <v>231</v>
      </c>
      <c r="C574" s="205">
        <v>8</v>
      </c>
      <c r="D574" s="138" t="s">
        <v>790</v>
      </c>
      <c r="E574" s="135">
        <v>0</v>
      </c>
      <c r="F574" s="211" t="s">
        <v>291</v>
      </c>
      <c r="G574" s="4">
        <v>6</v>
      </c>
      <c r="H574" s="23">
        <f t="shared" si="35"/>
        <v>56</v>
      </c>
      <c r="I574" s="22" t="s">
        <v>380</v>
      </c>
      <c r="J574" s="85"/>
      <c r="K574" s="76"/>
    </row>
    <row r="575" spans="1:11">
      <c r="A575" s="77" t="s">
        <v>232</v>
      </c>
      <c r="B575" s="84" t="s">
        <v>231</v>
      </c>
      <c r="C575" s="206">
        <v>9</v>
      </c>
      <c r="D575" s="138" t="s">
        <v>791</v>
      </c>
      <c r="E575" s="135">
        <v>0</v>
      </c>
      <c r="F575" s="216" t="s">
        <v>307</v>
      </c>
      <c r="G575" s="4">
        <v>6</v>
      </c>
      <c r="H575" s="23">
        <f t="shared" si="35"/>
        <v>62</v>
      </c>
      <c r="I575" s="22" t="s">
        <v>792</v>
      </c>
      <c r="J575" s="85"/>
      <c r="K575" s="76"/>
    </row>
    <row r="576" spans="1:11">
      <c r="A576" s="77" t="s">
        <v>232</v>
      </c>
      <c r="B576" s="84" t="s">
        <v>231</v>
      </c>
      <c r="C576" s="205">
        <v>10</v>
      </c>
      <c r="D576" s="138" t="s">
        <v>793</v>
      </c>
      <c r="E576" s="135">
        <v>0</v>
      </c>
      <c r="F576" s="216" t="s">
        <v>307</v>
      </c>
      <c r="G576" s="4">
        <v>6</v>
      </c>
      <c r="H576" s="23">
        <f t="shared" si="35"/>
        <v>68</v>
      </c>
      <c r="I576" s="22" t="s">
        <v>792</v>
      </c>
      <c r="J576" s="85"/>
      <c r="K576" s="76"/>
    </row>
    <row r="577" spans="1:11">
      <c r="A577" s="77" t="s">
        <v>232</v>
      </c>
      <c r="B577" s="84" t="s">
        <v>231</v>
      </c>
      <c r="C577" s="206">
        <v>11</v>
      </c>
      <c r="D577" s="138" t="s">
        <v>794</v>
      </c>
      <c r="E577" s="135">
        <v>0</v>
      </c>
      <c r="F577" s="216" t="s">
        <v>307</v>
      </c>
      <c r="G577" s="4">
        <v>9</v>
      </c>
      <c r="H577" s="23">
        <f t="shared" si="35"/>
        <v>77</v>
      </c>
      <c r="I577" s="22"/>
      <c r="J577" s="85"/>
      <c r="K577" s="76"/>
    </row>
    <row r="578" spans="1:11">
      <c r="A578" s="77" t="s">
        <v>232</v>
      </c>
      <c r="B578" s="84" t="s">
        <v>231</v>
      </c>
      <c r="C578" s="205">
        <v>12</v>
      </c>
      <c r="D578" s="138" t="s">
        <v>795</v>
      </c>
      <c r="E578" s="135">
        <v>0</v>
      </c>
      <c r="F578" s="216" t="s">
        <v>307</v>
      </c>
      <c r="G578" s="4">
        <v>9</v>
      </c>
      <c r="H578" s="23">
        <f t="shared" si="35"/>
        <v>86</v>
      </c>
      <c r="I578" s="22"/>
      <c r="J578" s="85"/>
      <c r="K578" s="76"/>
    </row>
    <row r="579" spans="1:11">
      <c r="A579" s="77" t="s">
        <v>232</v>
      </c>
      <c r="B579" s="84" t="s">
        <v>231</v>
      </c>
      <c r="C579" s="206">
        <v>13</v>
      </c>
      <c r="D579" s="138" t="s">
        <v>796</v>
      </c>
      <c r="E579" s="135">
        <v>0</v>
      </c>
      <c r="F579" s="216" t="s">
        <v>307</v>
      </c>
      <c r="G579" s="4">
        <v>9</v>
      </c>
      <c r="H579" s="23">
        <f t="shared" si="35"/>
        <v>95</v>
      </c>
      <c r="I579" s="22"/>
      <c r="J579" s="85"/>
      <c r="K579" s="76"/>
    </row>
    <row r="580" spans="1:11">
      <c r="A580" s="77" t="s">
        <v>232</v>
      </c>
      <c r="B580" s="84" t="s">
        <v>231</v>
      </c>
      <c r="C580" s="205">
        <v>14</v>
      </c>
      <c r="D580" s="138" t="s">
        <v>797</v>
      </c>
      <c r="E580" s="135">
        <v>0</v>
      </c>
      <c r="F580" s="216" t="s">
        <v>307</v>
      </c>
      <c r="G580" s="4">
        <v>12</v>
      </c>
      <c r="H580" s="23">
        <f t="shared" si="35"/>
        <v>107</v>
      </c>
      <c r="I580" s="22"/>
      <c r="J580" s="85"/>
      <c r="K580" s="76"/>
    </row>
    <row r="581" spans="1:11">
      <c r="A581" s="77" t="s">
        <v>232</v>
      </c>
      <c r="B581" s="84" t="s">
        <v>231</v>
      </c>
      <c r="C581" s="206">
        <v>15</v>
      </c>
      <c r="D581" s="138" t="s">
        <v>798</v>
      </c>
      <c r="E581" s="135">
        <v>0</v>
      </c>
      <c r="F581" s="216" t="s">
        <v>307</v>
      </c>
      <c r="G581" s="4">
        <v>14</v>
      </c>
      <c r="H581" s="23">
        <f t="shared" si="35"/>
        <v>121</v>
      </c>
      <c r="I581" s="22" t="s">
        <v>380</v>
      </c>
      <c r="J581" s="85"/>
      <c r="K581" s="76"/>
    </row>
    <row r="582" spans="1:11">
      <c r="A582" s="77" t="s">
        <v>232</v>
      </c>
      <c r="B582" s="84" t="s">
        <v>231</v>
      </c>
      <c r="C582" s="205">
        <v>16</v>
      </c>
      <c r="D582" s="138" t="s">
        <v>770</v>
      </c>
      <c r="E582" s="135">
        <v>0</v>
      </c>
      <c r="F582" s="216" t="s">
        <v>307</v>
      </c>
      <c r="G582" s="4">
        <v>10</v>
      </c>
      <c r="H582" s="23">
        <f t="shared" si="35"/>
        <v>131</v>
      </c>
      <c r="I582" s="22" t="s">
        <v>380</v>
      </c>
      <c r="J582" s="85"/>
      <c r="K582" s="76"/>
    </row>
    <row r="583" spans="1:11">
      <c r="A583" s="77" t="s">
        <v>232</v>
      </c>
      <c r="B583" s="84" t="s">
        <v>231</v>
      </c>
      <c r="C583" s="206">
        <v>17</v>
      </c>
      <c r="D583" s="138" t="s">
        <v>771</v>
      </c>
      <c r="E583" s="135">
        <v>0</v>
      </c>
      <c r="F583" s="216" t="s">
        <v>307</v>
      </c>
      <c r="G583" s="4">
        <v>10</v>
      </c>
      <c r="H583" s="23">
        <f t="shared" si="35"/>
        <v>141</v>
      </c>
      <c r="I583" s="22" t="s">
        <v>380</v>
      </c>
      <c r="J583" s="85"/>
      <c r="K583" s="76"/>
    </row>
    <row r="584" spans="1:11">
      <c r="A584" s="77" t="s">
        <v>232</v>
      </c>
      <c r="B584" s="84" t="s">
        <v>231</v>
      </c>
      <c r="C584" s="205">
        <v>18</v>
      </c>
      <c r="D584" s="138" t="s">
        <v>772</v>
      </c>
      <c r="E584" s="135">
        <v>0</v>
      </c>
      <c r="F584" s="216" t="s">
        <v>307</v>
      </c>
      <c r="G584" s="4">
        <v>9</v>
      </c>
      <c r="H584" s="23">
        <f t="shared" si="35"/>
        <v>150</v>
      </c>
      <c r="I584" s="22"/>
      <c r="J584" s="85"/>
      <c r="K584" s="76"/>
    </row>
    <row r="585" spans="1:11">
      <c r="A585" s="77" t="s">
        <v>232</v>
      </c>
      <c r="B585" s="84" t="s">
        <v>231</v>
      </c>
      <c r="C585" s="206">
        <v>19</v>
      </c>
      <c r="D585" s="138" t="s">
        <v>773</v>
      </c>
      <c r="E585" s="135">
        <v>0</v>
      </c>
      <c r="F585" s="216" t="s">
        <v>307</v>
      </c>
      <c r="G585" s="4">
        <v>10</v>
      </c>
      <c r="H585" s="23">
        <f t="shared" si="35"/>
        <v>160</v>
      </c>
      <c r="I585" s="22" t="s">
        <v>380</v>
      </c>
      <c r="J585" s="85"/>
      <c r="K585" s="76"/>
    </row>
    <row r="586" spans="1:11">
      <c r="A586" s="77" t="s">
        <v>232</v>
      </c>
      <c r="B586" s="84" t="s">
        <v>231</v>
      </c>
      <c r="C586" s="205">
        <v>20</v>
      </c>
      <c r="D586" s="138" t="s">
        <v>774</v>
      </c>
      <c r="E586" s="135">
        <v>0</v>
      </c>
      <c r="F586" s="216" t="s">
        <v>307</v>
      </c>
      <c r="G586" s="4">
        <v>9</v>
      </c>
      <c r="H586" s="23">
        <f t="shared" si="35"/>
        <v>169</v>
      </c>
      <c r="I586" s="22"/>
      <c r="J586" s="85"/>
      <c r="K586" s="76"/>
    </row>
    <row r="587" spans="1:11">
      <c r="A587" s="77" t="s">
        <v>232</v>
      </c>
      <c r="B587" s="84" t="s">
        <v>231</v>
      </c>
      <c r="C587" s="206">
        <v>21</v>
      </c>
      <c r="D587" s="138" t="s">
        <v>775</v>
      </c>
      <c r="E587" s="135">
        <v>0</v>
      </c>
      <c r="F587" s="216" t="s">
        <v>307</v>
      </c>
      <c r="G587" s="4">
        <v>10</v>
      </c>
      <c r="H587" s="23">
        <f t="shared" si="35"/>
        <v>179</v>
      </c>
      <c r="I587" s="22" t="s">
        <v>380</v>
      </c>
      <c r="J587" s="85"/>
      <c r="K587" s="76"/>
    </row>
    <row r="588" spans="1:11">
      <c r="A588" s="77" t="s">
        <v>232</v>
      </c>
      <c r="B588" s="84" t="s">
        <v>231</v>
      </c>
      <c r="C588" s="205">
        <v>22</v>
      </c>
      <c r="D588" s="138" t="s">
        <v>799</v>
      </c>
      <c r="E588" s="135">
        <v>0</v>
      </c>
      <c r="F588" s="211" t="s">
        <v>291</v>
      </c>
      <c r="G588" s="4">
        <v>1</v>
      </c>
      <c r="H588" s="23">
        <f t="shared" si="35"/>
        <v>180</v>
      </c>
      <c r="I588" s="22" t="s">
        <v>800</v>
      </c>
      <c r="J588" s="85"/>
      <c r="K588" s="76"/>
    </row>
    <row r="589" spans="1:11">
      <c r="A589" s="77" t="s">
        <v>232</v>
      </c>
      <c r="B589" s="84" t="s">
        <v>231</v>
      </c>
      <c r="C589" s="206">
        <v>23</v>
      </c>
      <c r="D589" s="138" t="s">
        <v>801</v>
      </c>
      <c r="E589" s="135">
        <v>0</v>
      </c>
      <c r="F589" s="211" t="s">
        <v>291</v>
      </c>
      <c r="G589" s="4">
        <v>9</v>
      </c>
      <c r="H589" s="23">
        <f t="shared" si="35"/>
        <v>189</v>
      </c>
      <c r="I589" s="22"/>
      <c r="J589" s="85"/>
      <c r="K589" s="76"/>
    </row>
    <row r="590" spans="1:11">
      <c r="A590" s="77" t="s">
        <v>232</v>
      </c>
      <c r="B590" s="84" t="s">
        <v>231</v>
      </c>
      <c r="C590" s="205">
        <v>24</v>
      </c>
      <c r="D590" s="138" t="s">
        <v>802</v>
      </c>
      <c r="E590" s="135">
        <v>0</v>
      </c>
      <c r="F590" s="216" t="s">
        <v>307</v>
      </c>
      <c r="G590" s="4">
        <v>10</v>
      </c>
      <c r="H590" s="23">
        <f t="shared" si="35"/>
        <v>199</v>
      </c>
      <c r="I590" s="22" t="s">
        <v>380</v>
      </c>
      <c r="J590" s="85"/>
      <c r="K590" s="76"/>
    </row>
    <row r="591" spans="1:11">
      <c r="A591" s="77" t="s">
        <v>232</v>
      </c>
      <c r="B591" s="84" t="s">
        <v>231</v>
      </c>
      <c r="C591" s="206">
        <v>25</v>
      </c>
      <c r="D591" s="138" t="s">
        <v>803</v>
      </c>
      <c r="E591" s="135">
        <v>0</v>
      </c>
      <c r="F591" s="216" t="s">
        <v>307</v>
      </c>
      <c r="G591" s="4">
        <v>10</v>
      </c>
      <c r="H591" s="23">
        <f t="shared" si="35"/>
        <v>209</v>
      </c>
      <c r="I591" s="22" t="s">
        <v>380</v>
      </c>
      <c r="J591" s="85"/>
      <c r="K591" s="76"/>
    </row>
    <row r="592" spans="1:11">
      <c r="A592" s="77" t="s">
        <v>232</v>
      </c>
      <c r="B592" s="84" t="s">
        <v>231</v>
      </c>
      <c r="C592" s="205">
        <v>26</v>
      </c>
      <c r="D592" s="138" t="s">
        <v>320</v>
      </c>
      <c r="E592" s="135">
        <v>0</v>
      </c>
      <c r="F592" s="211" t="s">
        <v>291</v>
      </c>
      <c r="G592" s="4">
        <v>40</v>
      </c>
      <c r="H592" s="23">
        <f t="shared" si="35"/>
        <v>249</v>
      </c>
      <c r="I592" s="22"/>
      <c r="J592" s="85"/>
      <c r="K592" s="76"/>
    </row>
    <row r="593" spans="1:11">
      <c r="A593" s="77" t="s">
        <v>232</v>
      </c>
      <c r="B593" s="80" t="s">
        <v>231</v>
      </c>
      <c r="C593" s="145">
        <v>27</v>
      </c>
      <c r="D593" s="139" t="s">
        <v>298</v>
      </c>
      <c r="E593" s="136">
        <v>0</v>
      </c>
      <c r="F593" s="215" t="s">
        <v>291</v>
      </c>
      <c r="G593" s="134">
        <v>1</v>
      </c>
      <c r="H593" s="145">
        <f t="shared" si="35"/>
        <v>250</v>
      </c>
      <c r="I593" s="36" t="s">
        <v>299</v>
      </c>
      <c r="J593" s="74"/>
      <c r="K593" s="74"/>
    </row>
    <row r="594" spans="1:11">
      <c r="A594" s="77" t="s">
        <v>804</v>
      </c>
      <c r="B594" s="79" t="s">
        <v>233</v>
      </c>
      <c r="C594" s="76">
        <v>1</v>
      </c>
      <c r="D594" s="138" t="s">
        <v>290</v>
      </c>
      <c r="E594" s="137">
        <v>0</v>
      </c>
      <c r="F594" s="210" t="s">
        <v>291</v>
      </c>
      <c r="G594" s="133">
        <v>2</v>
      </c>
      <c r="H594" s="76">
        <v>2</v>
      </c>
      <c r="I594" s="75" t="s">
        <v>805</v>
      </c>
      <c r="J594" s="76"/>
      <c r="K594" s="76"/>
    </row>
    <row r="595" spans="1:11">
      <c r="A595" s="188" t="s">
        <v>234</v>
      </c>
      <c r="B595" s="199" t="s">
        <v>233</v>
      </c>
      <c r="C595" s="191">
        <v>2</v>
      </c>
      <c r="D595" s="184" t="s">
        <v>302</v>
      </c>
      <c r="E595" s="196">
        <v>0</v>
      </c>
      <c r="F595" s="214" t="s">
        <v>291</v>
      </c>
      <c r="G595" s="198">
        <v>3</v>
      </c>
      <c r="H595" s="186">
        <f t="shared" ref="H595:H601" si="36">H594+G595</f>
        <v>5</v>
      </c>
      <c r="I595" s="187" t="s">
        <v>641</v>
      </c>
      <c r="J595" s="85"/>
      <c r="K595" s="76"/>
    </row>
    <row r="596" spans="1:11">
      <c r="A596" s="77" t="s">
        <v>234</v>
      </c>
      <c r="B596" s="84" t="s">
        <v>233</v>
      </c>
      <c r="C596" s="206">
        <v>3</v>
      </c>
      <c r="D596" s="138" t="s">
        <v>304</v>
      </c>
      <c r="E596" s="135">
        <v>0</v>
      </c>
      <c r="F596" s="211" t="s">
        <v>291</v>
      </c>
      <c r="G596" s="4">
        <v>12</v>
      </c>
      <c r="H596" s="23">
        <f t="shared" si="36"/>
        <v>17</v>
      </c>
      <c r="I596" s="22" t="s">
        <v>305</v>
      </c>
      <c r="J596" s="85"/>
      <c r="K596" s="76"/>
    </row>
    <row r="597" spans="1:11">
      <c r="A597" s="77" t="s">
        <v>234</v>
      </c>
      <c r="B597" s="84" t="s">
        <v>233</v>
      </c>
      <c r="C597" s="205">
        <v>4</v>
      </c>
      <c r="D597" s="138" t="s">
        <v>412</v>
      </c>
      <c r="E597" s="135">
        <v>0</v>
      </c>
      <c r="F597" s="216" t="s">
        <v>307</v>
      </c>
      <c r="G597" s="4">
        <v>8</v>
      </c>
      <c r="H597" s="23">
        <f t="shared" si="36"/>
        <v>25</v>
      </c>
      <c r="I597" s="22" t="s">
        <v>806</v>
      </c>
      <c r="J597" s="85"/>
      <c r="K597" s="76"/>
    </row>
    <row r="598" spans="1:11">
      <c r="A598" s="77" t="s">
        <v>234</v>
      </c>
      <c r="B598" s="84" t="s">
        <v>233</v>
      </c>
      <c r="C598" s="206">
        <v>5</v>
      </c>
      <c r="D598" s="138" t="s">
        <v>807</v>
      </c>
      <c r="E598" s="135">
        <v>0</v>
      </c>
      <c r="F598" s="216" t="s">
        <v>307</v>
      </c>
      <c r="G598" s="4">
        <v>9</v>
      </c>
      <c r="H598" s="23">
        <f t="shared" si="36"/>
        <v>34</v>
      </c>
      <c r="I598" s="22"/>
      <c r="J598" s="85"/>
      <c r="K598" s="76"/>
    </row>
    <row r="599" spans="1:11">
      <c r="A599" s="77" t="s">
        <v>234</v>
      </c>
      <c r="B599" s="84" t="s">
        <v>233</v>
      </c>
      <c r="C599" s="205">
        <v>6</v>
      </c>
      <c r="D599" s="138" t="s">
        <v>808</v>
      </c>
      <c r="E599" s="135">
        <v>0</v>
      </c>
      <c r="F599" s="211" t="s">
        <v>291</v>
      </c>
      <c r="G599" s="4">
        <v>1</v>
      </c>
      <c r="H599" s="23">
        <f t="shared" si="36"/>
        <v>35</v>
      </c>
      <c r="I599" s="22" t="s">
        <v>809</v>
      </c>
      <c r="J599" s="85"/>
      <c r="K599" s="76"/>
    </row>
    <row r="600" spans="1:11">
      <c r="A600" s="77" t="s">
        <v>234</v>
      </c>
      <c r="B600" s="84" t="s">
        <v>233</v>
      </c>
      <c r="C600" s="206">
        <v>7</v>
      </c>
      <c r="D600" s="138" t="s">
        <v>320</v>
      </c>
      <c r="E600" s="135">
        <v>0</v>
      </c>
      <c r="F600" s="211" t="s">
        <v>291</v>
      </c>
      <c r="G600" s="4">
        <v>4</v>
      </c>
      <c r="H600" s="23">
        <f t="shared" si="36"/>
        <v>39</v>
      </c>
      <c r="I600" s="22" t="s">
        <v>321</v>
      </c>
      <c r="J600" s="85"/>
      <c r="K600" s="76"/>
    </row>
    <row r="601" spans="1:11">
      <c r="A601" s="77" t="s">
        <v>234</v>
      </c>
      <c r="B601" s="80" t="s">
        <v>233</v>
      </c>
      <c r="C601" s="149">
        <v>8</v>
      </c>
      <c r="D601" s="139" t="s">
        <v>298</v>
      </c>
      <c r="E601" s="136">
        <v>0</v>
      </c>
      <c r="F601" s="215" t="s">
        <v>291</v>
      </c>
      <c r="G601" s="134">
        <v>1</v>
      </c>
      <c r="H601" s="74">
        <f t="shared" si="36"/>
        <v>40</v>
      </c>
      <c r="I601" s="36" t="s">
        <v>299</v>
      </c>
      <c r="J601" s="74"/>
      <c r="K601" s="74"/>
    </row>
    <row r="602" spans="1:11">
      <c r="A602" s="77" t="s">
        <v>810</v>
      </c>
      <c r="B602" s="79" t="s">
        <v>235</v>
      </c>
      <c r="C602" s="76">
        <v>1</v>
      </c>
      <c r="D602" s="138" t="s">
        <v>290</v>
      </c>
      <c r="E602" s="137">
        <v>0</v>
      </c>
      <c r="F602" s="210" t="s">
        <v>291</v>
      </c>
      <c r="G602" s="133">
        <v>2</v>
      </c>
      <c r="H602" s="76">
        <v>2</v>
      </c>
      <c r="I602" s="75" t="s">
        <v>811</v>
      </c>
      <c r="J602" s="76"/>
      <c r="K602" s="76"/>
    </row>
    <row r="603" spans="1:11">
      <c r="A603" s="188" t="s">
        <v>236</v>
      </c>
      <c r="B603" s="199" t="s">
        <v>235</v>
      </c>
      <c r="C603" s="191">
        <v>2</v>
      </c>
      <c r="D603" s="184" t="s">
        <v>302</v>
      </c>
      <c r="E603" s="196">
        <v>0</v>
      </c>
      <c r="F603" s="214" t="s">
        <v>291</v>
      </c>
      <c r="G603" s="198">
        <v>3</v>
      </c>
      <c r="H603" s="186">
        <f t="shared" ref="H603:H609" si="37">H602+G603</f>
        <v>5</v>
      </c>
      <c r="I603" s="187" t="s">
        <v>641</v>
      </c>
      <c r="J603" s="85"/>
      <c r="K603" s="76"/>
    </row>
    <row r="604" spans="1:11">
      <c r="A604" s="77" t="s">
        <v>236</v>
      </c>
      <c r="B604" s="84" t="s">
        <v>235</v>
      </c>
      <c r="C604" s="206">
        <v>3</v>
      </c>
      <c r="D604" s="138" t="s">
        <v>304</v>
      </c>
      <c r="E604" s="135">
        <v>0</v>
      </c>
      <c r="F604" s="211" t="s">
        <v>291</v>
      </c>
      <c r="G604" s="4">
        <v>12</v>
      </c>
      <c r="H604" s="23">
        <f t="shared" si="37"/>
        <v>17</v>
      </c>
      <c r="I604" s="22" t="s">
        <v>305</v>
      </c>
      <c r="J604" s="85"/>
      <c r="K604" s="76"/>
    </row>
    <row r="605" spans="1:11">
      <c r="A605" s="77" t="s">
        <v>236</v>
      </c>
      <c r="B605" s="84" t="s">
        <v>235</v>
      </c>
      <c r="C605" s="205">
        <v>4</v>
      </c>
      <c r="D605" s="138" t="s">
        <v>412</v>
      </c>
      <c r="E605" s="135">
        <v>0</v>
      </c>
      <c r="F605" s="216" t="s">
        <v>307</v>
      </c>
      <c r="G605" s="4">
        <v>8</v>
      </c>
      <c r="H605" s="23">
        <f t="shared" si="37"/>
        <v>25</v>
      </c>
      <c r="I605" s="22" t="s">
        <v>812</v>
      </c>
      <c r="J605" s="85"/>
      <c r="K605" s="76"/>
    </row>
    <row r="606" spans="1:11">
      <c r="A606" s="77" t="s">
        <v>236</v>
      </c>
      <c r="B606" s="84" t="s">
        <v>235</v>
      </c>
      <c r="C606" s="206">
        <v>5</v>
      </c>
      <c r="D606" s="138" t="s">
        <v>342</v>
      </c>
      <c r="E606" s="135">
        <v>0</v>
      </c>
      <c r="F606" s="211" t="s">
        <v>291</v>
      </c>
      <c r="G606" s="4">
        <v>1</v>
      </c>
      <c r="H606" s="23">
        <f t="shared" si="37"/>
        <v>26</v>
      </c>
      <c r="I606" s="22" t="s">
        <v>813</v>
      </c>
      <c r="J606" s="85"/>
      <c r="K606" s="76"/>
    </row>
    <row r="607" spans="1:11">
      <c r="A607" s="77" t="s">
        <v>236</v>
      </c>
      <c r="B607" s="84" t="s">
        <v>235</v>
      </c>
      <c r="C607" s="205">
        <v>6</v>
      </c>
      <c r="D607" s="138" t="s">
        <v>814</v>
      </c>
      <c r="E607" s="135">
        <v>0</v>
      </c>
      <c r="F607" s="211" t="s">
        <v>291</v>
      </c>
      <c r="G607" s="4">
        <v>2</v>
      </c>
      <c r="H607" s="23">
        <f t="shared" si="37"/>
        <v>28</v>
      </c>
      <c r="I607" s="22"/>
      <c r="J607" s="85"/>
      <c r="K607" s="76"/>
    </row>
    <row r="608" spans="1:11">
      <c r="A608" s="77" t="s">
        <v>236</v>
      </c>
      <c r="B608" s="84" t="s">
        <v>235</v>
      </c>
      <c r="C608" s="206">
        <v>7</v>
      </c>
      <c r="D608" s="138" t="s">
        <v>320</v>
      </c>
      <c r="E608" s="135">
        <v>0</v>
      </c>
      <c r="F608" s="211" t="s">
        <v>291</v>
      </c>
      <c r="G608" s="4">
        <v>1</v>
      </c>
      <c r="H608" s="23">
        <f t="shared" si="37"/>
        <v>29</v>
      </c>
      <c r="I608" s="22" t="s">
        <v>321</v>
      </c>
      <c r="J608" s="85"/>
      <c r="K608" s="76"/>
    </row>
    <row r="609" spans="1:11">
      <c r="A609" s="77" t="s">
        <v>236</v>
      </c>
      <c r="B609" s="80" t="s">
        <v>235</v>
      </c>
      <c r="C609" s="149">
        <v>8</v>
      </c>
      <c r="D609" s="139" t="s">
        <v>298</v>
      </c>
      <c r="E609" s="136">
        <v>0</v>
      </c>
      <c r="F609" s="215" t="s">
        <v>291</v>
      </c>
      <c r="G609" s="134">
        <v>1</v>
      </c>
      <c r="H609" s="74">
        <f t="shared" si="37"/>
        <v>30</v>
      </c>
      <c r="I609" s="36" t="s">
        <v>299</v>
      </c>
      <c r="J609" s="74"/>
      <c r="K609" s="74"/>
    </row>
    <row r="610" spans="1:11">
      <c r="A610" s="77" t="s">
        <v>815</v>
      </c>
      <c r="B610" s="79" t="s">
        <v>243</v>
      </c>
      <c r="C610" s="76">
        <v>1</v>
      </c>
      <c r="D610" s="138" t="s">
        <v>290</v>
      </c>
      <c r="E610" s="137">
        <v>0</v>
      </c>
      <c r="F610" s="210" t="s">
        <v>291</v>
      </c>
      <c r="G610" s="133">
        <v>2</v>
      </c>
      <c r="H610" s="76">
        <v>2</v>
      </c>
      <c r="I610" s="75" t="s">
        <v>816</v>
      </c>
      <c r="J610" s="76"/>
      <c r="K610" s="76"/>
    </row>
    <row r="611" spans="1:11">
      <c r="A611" s="188" t="s">
        <v>244</v>
      </c>
      <c r="B611" s="199" t="s">
        <v>243</v>
      </c>
      <c r="C611" s="191">
        <v>2</v>
      </c>
      <c r="D611" s="184" t="s">
        <v>302</v>
      </c>
      <c r="E611" s="196">
        <v>0</v>
      </c>
      <c r="F611" s="214" t="s">
        <v>291</v>
      </c>
      <c r="G611" s="198">
        <v>3</v>
      </c>
      <c r="H611" s="186">
        <f t="shared" ref="H611:H623" si="38">H610+G611</f>
        <v>5</v>
      </c>
      <c r="I611" s="187" t="s">
        <v>641</v>
      </c>
      <c r="J611" s="85"/>
      <c r="K611" s="76"/>
    </row>
    <row r="612" spans="1:11">
      <c r="A612" s="77" t="s">
        <v>244</v>
      </c>
      <c r="B612" s="84" t="s">
        <v>243</v>
      </c>
      <c r="C612" s="206">
        <v>3</v>
      </c>
      <c r="D612" s="138" t="s">
        <v>304</v>
      </c>
      <c r="E612" s="135">
        <v>0</v>
      </c>
      <c r="F612" s="211" t="s">
        <v>291</v>
      </c>
      <c r="G612" s="4">
        <v>12</v>
      </c>
      <c r="H612" s="23">
        <f t="shared" si="38"/>
        <v>17</v>
      </c>
      <c r="I612" s="22" t="s">
        <v>305</v>
      </c>
      <c r="J612" s="85"/>
      <c r="K612" s="76"/>
    </row>
    <row r="613" spans="1:11">
      <c r="A613" s="77" t="s">
        <v>244</v>
      </c>
      <c r="B613" s="84" t="s">
        <v>243</v>
      </c>
      <c r="C613" s="205">
        <v>4</v>
      </c>
      <c r="D613" s="138" t="s">
        <v>817</v>
      </c>
      <c r="E613" s="135">
        <v>0</v>
      </c>
      <c r="F613" s="211" t="s">
        <v>291</v>
      </c>
      <c r="G613" s="4">
        <v>2</v>
      </c>
      <c r="H613" s="23">
        <f t="shared" si="38"/>
        <v>19</v>
      </c>
      <c r="I613" s="22" t="s">
        <v>818</v>
      </c>
      <c r="J613" s="85"/>
      <c r="K613" s="76"/>
    </row>
    <row r="614" spans="1:11">
      <c r="A614" s="77" t="s">
        <v>244</v>
      </c>
      <c r="B614" s="84" t="s">
        <v>243</v>
      </c>
      <c r="C614" s="206">
        <v>5</v>
      </c>
      <c r="D614" s="138" t="s">
        <v>819</v>
      </c>
      <c r="E614" s="135">
        <v>0</v>
      </c>
      <c r="F614" s="211" t="s">
        <v>291</v>
      </c>
      <c r="G614" s="4">
        <v>8</v>
      </c>
      <c r="H614" s="23">
        <f t="shared" si="38"/>
        <v>27</v>
      </c>
      <c r="I614" s="22" t="s">
        <v>820</v>
      </c>
      <c r="J614" s="85"/>
      <c r="K614" s="76"/>
    </row>
    <row r="615" spans="1:11">
      <c r="A615" s="77" t="s">
        <v>244</v>
      </c>
      <c r="B615" s="84" t="s">
        <v>243</v>
      </c>
      <c r="C615" s="205">
        <v>6</v>
      </c>
      <c r="D615" s="138" t="s">
        <v>821</v>
      </c>
      <c r="E615" s="135">
        <v>0</v>
      </c>
      <c r="F615" s="211" t="s">
        <v>291</v>
      </c>
      <c r="G615" s="4">
        <v>8</v>
      </c>
      <c r="H615" s="23">
        <f t="shared" si="38"/>
        <v>35</v>
      </c>
      <c r="I615" s="22" t="s">
        <v>822</v>
      </c>
      <c r="J615" s="85"/>
      <c r="K615" s="76"/>
    </row>
    <row r="616" spans="1:11">
      <c r="A616" s="77" t="s">
        <v>244</v>
      </c>
      <c r="B616" s="84" t="s">
        <v>243</v>
      </c>
      <c r="C616" s="206">
        <v>7</v>
      </c>
      <c r="D616" s="138" t="s">
        <v>823</v>
      </c>
      <c r="E616" s="135">
        <v>0</v>
      </c>
      <c r="F616" s="216" t="s">
        <v>307</v>
      </c>
      <c r="G616" s="4">
        <v>9</v>
      </c>
      <c r="H616" s="23">
        <f t="shared" si="38"/>
        <v>44</v>
      </c>
      <c r="I616" s="22" t="s">
        <v>824</v>
      </c>
      <c r="J616" s="85"/>
      <c r="K616" s="76"/>
    </row>
    <row r="617" spans="1:11">
      <c r="A617" s="77" t="s">
        <v>244</v>
      </c>
      <c r="B617" s="84" t="s">
        <v>243</v>
      </c>
      <c r="C617" s="205">
        <v>8</v>
      </c>
      <c r="D617" s="138" t="s">
        <v>825</v>
      </c>
      <c r="E617" s="135">
        <v>0</v>
      </c>
      <c r="F617" s="216" t="s">
        <v>307</v>
      </c>
      <c r="G617" s="4">
        <v>9</v>
      </c>
      <c r="H617" s="23">
        <f t="shared" si="38"/>
        <v>53</v>
      </c>
      <c r="I617" s="22" t="s">
        <v>824</v>
      </c>
      <c r="J617" s="85"/>
      <c r="K617" s="76"/>
    </row>
    <row r="618" spans="1:11">
      <c r="A618" s="77" t="s">
        <v>244</v>
      </c>
      <c r="B618" s="84" t="s">
        <v>243</v>
      </c>
      <c r="C618" s="206">
        <v>9</v>
      </c>
      <c r="D618" s="138" t="s">
        <v>826</v>
      </c>
      <c r="E618" s="135">
        <v>0</v>
      </c>
      <c r="F618" s="216" t="s">
        <v>307</v>
      </c>
      <c r="G618" s="4">
        <v>9</v>
      </c>
      <c r="H618" s="23">
        <f t="shared" si="38"/>
        <v>62</v>
      </c>
      <c r="I618" s="22" t="s">
        <v>824</v>
      </c>
      <c r="J618" s="85"/>
      <c r="K618" s="76"/>
    </row>
    <row r="619" spans="1:11">
      <c r="A619" s="77" t="s">
        <v>244</v>
      </c>
      <c r="B619" s="84" t="s">
        <v>243</v>
      </c>
      <c r="C619" s="205">
        <v>10</v>
      </c>
      <c r="D619" s="138" t="s">
        <v>827</v>
      </c>
      <c r="E619" s="135">
        <v>0</v>
      </c>
      <c r="F619" s="216" t="s">
        <v>307</v>
      </c>
      <c r="G619" s="4">
        <v>9</v>
      </c>
      <c r="H619" s="23">
        <f t="shared" si="38"/>
        <v>71</v>
      </c>
      <c r="I619" s="22" t="s">
        <v>824</v>
      </c>
      <c r="J619" s="85"/>
      <c r="K619" s="76"/>
    </row>
    <row r="620" spans="1:11">
      <c r="A620" s="77" t="s">
        <v>244</v>
      </c>
      <c r="B620" s="84" t="s">
        <v>243</v>
      </c>
      <c r="C620" s="206">
        <v>11</v>
      </c>
      <c r="D620" s="138" t="s">
        <v>828</v>
      </c>
      <c r="E620" s="135">
        <v>0</v>
      </c>
      <c r="F620" s="216" t="s">
        <v>307</v>
      </c>
      <c r="G620" s="4">
        <v>9</v>
      </c>
      <c r="H620" s="23">
        <f t="shared" si="38"/>
        <v>80</v>
      </c>
      <c r="I620" s="22" t="s">
        <v>824</v>
      </c>
      <c r="J620" s="85"/>
      <c r="K620" s="76"/>
    </row>
    <row r="621" spans="1:11">
      <c r="A621" s="77" t="s">
        <v>244</v>
      </c>
      <c r="B621" s="84" t="s">
        <v>243</v>
      </c>
      <c r="C621" s="205">
        <v>12</v>
      </c>
      <c r="D621" s="138" t="s">
        <v>829</v>
      </c>
      <c r="E621" s="135">
        <v>0</v>
      </c>
      <c r="F621" s="216" t="s">
        <v>307</v>
      </c>
      <c r="G621" s="4">
        <v>9</v>
      </c>
      <c r="H621" s="23">
        <f t="shared" si="38"/>
        <v>89</v>
      </c>
      <c r="I621" s="22" t="s">
        <v>824</v>
      </c>
      <c r="J621" s="85"/>
      <c r="K621" s="76"/>
    </row>
    <row r="622" spans="1:11">
      <c r="A622" s="77" t="s">
        <v>244</v>
      </c>
      <c r="B622" s="84" t="s">
        <v>243</v>
      </c>
      <c r="C622" s="206">
        <v>13</v>
      </c>
      <c r="D622" s="138" t="s">
        <v>320</v>
      </c>
      <c r="E622" s="135">
        <v>0</v>
      </c>
      <c r="F622" s="211" t="s">
        <v>291</v>
      </c>
      <c r="G622" s="4">
        <v>10</v>
      </c>
      <c r="H622" s="23">
        <f t="shared" si="38"/>
        <v>99</v>
      </c>
      <c r="I622" s="22" t="s">
        <v>321</v>
      </c>
      <c r="J622" s="85"/>
      <c r="K622" s="76"/>
    </row>
    <row r="623" spans="1:11">
      <c r="A623" s="77" t="s">
        <v>244</v>
      </c>
      <c r="B623" s="80" t="s">
        <v>243</v>
      </c>
      <c r="C623" s="149">
        <v>14</v>
      </c>
      <c r="D623" s="139" t="s">
        <v>298</v>
      </c>
      <c r="E623" s="136">
        <v>0</v>
      </c>
      <c r="F623" s="215" t="s">
        <v>291</v>
      </c>
      <c r="G623" s="134">
        <v>1</v>
      </c>
      <c r="H623" s="74">
        <f t="shared" si="38"/>
        <v>100</v>
      </c>
      <c r="I623" s="36" t="s">
        <v>299</v>
      </c>
      <c r="J623" s="74"/>
      <c r="K623" s="74"/>
    </row>
    <row r="624" spans="1:11">
      <c r="A624" s="77" t="s">
        <v>830</v>
      </c>
      <c r="B624" s="79" t="s">
        <v>831</v>
      </c>
      <c r="C624" s="76">
        <v>1</v>
      </c>
      <c r="D624" s="138" t="s">
        <v>290</v>
      </c>
      <c r="E624" s="137">
        <v>0</v>
      </c>
      <c r="F624" s="210" t="s">
        <v>291</v>
      </c>
      <c r="G624" s="133">
        <v>2</v>
      </c>
      <c r="H624" s="76">
        <v>2</v>
      </c>
      <c r="I624" s="75" t="s">
        <v>832</v>
      </c>
      <c r="J624" s="76"/>
      <c r="K624" s="76"/>
    </row>
    <row r="625" spans="1:11">
      <c r="A625" s="188" t="s">
        <v>240</v>
      </c>
      <c r="B625" s="199" t="s">
        <v>831</v>
      </c>
      <c r="C625" s="191">
        <v>2</v>
      </c>
      <c r="D625" s="184" t="s">
        <v>302</v>
      </c>
      <c r="E625" s="196">
        <v>0</v>
      </c>
      <c r="F625" s="214" t="s">
        <v>291</v>
      </c>
      <c r="G625" s="198">
        <v>3</v>
      </c>
      <c r="H625" s="186">
        <f t="shared" ref="H625:H634" si="39">H624+G625</f>
        <v>5</v>
      </c>
      <c r="I625" s="187" t="s">
        <v>641</v>
      </c>
      <c r="J625" s="85"/>
      <c r="K625" s="76"/>
    </row>
    <row r="626" spans="1:11">
      <c r="A626" s="77" t="s">
        <v>240</v>
      </c>
      <c r="B626" s="84" t="s">
        <v>831</v>
      </c>
      <c r="C626" s="206">
        <v>3</v>
      </c>
      <c r="D626" s="138" t="s">
        <v>304</v>
      </c>
      <c r="E626" s="135">
        <v>0</v>
      </c>
      <c r="F626" s="211" t="s">
        <v>291</v>
      </c>
      <c r="G626" s="4">
        <v>12</v>
      </c>
      <c r="H626" s="23">
        <f t="shared" si="39"/>
        <v>17</v>
      </c>
      <c r="I626" s="22" t="s">
        <v>833</v>
      </c>
      <c r="J626" s="85"/>
      <c r="K626" s="76"/>
    </row>
    <row r="627" spans="1:11">
      <c r="A627" s="77" t="s">
        <v>240</v>
      </c>
      <c r="B627" s="84" t="s">
        <v>831</v>
      </c>
      <c r="C627" s="205">
        <v>4</v>
      </c>
      <c r="D627" s="138" t="s">
        <v>834</v>
      </c>
      <c r="E627" s="135">
        <v>0</v>
      </c>
      <c r="F627" s="211" t="s">
        <v>291</v>
      </c>
      <c r="G627" s="4">
        <v>6</v>
      </c>
      <c r="H627" s="23">
        <f t="shared" si="39"/>
        <v>23</v>
      </c>
      <c r="I627" s="22" t="s">
        <v>835</v>
      </c>
      <c r="J627" s="85"/>
      <c r="K627" s="76"/>
    </row>
    <row r="628" spans="1:11">
      <c r="A628" s="77" t="s">
        <v>240</v>
      </c>
      <c r="B628" s="84" t="s">
        <v>831</v>
      </c>
      <c r="C628" s="206">
        <v>5</v>
      </c>
      <c r="D628" s="138" t="s">
        <v>836</v>
      </c>
      <c r="E628" s="135">
        <v>0</v>
      </c>
      <c r="F628" s="211" t="s">
        <v>291</v>
      </c>
      <c r="G628" s="4">
        <v>8</v>
      </c>
      <c r="H628" s="23">
        <f t="shared" si="39"/>
        <v>31</v>
      </c>
      <c r="I628" s="22" t="s">
        <v>310</v>
      </c>
      <c r="J628" s="85"/>
      <c r="K628" s="76"/>
    </row>
    <row r="629" spans="1:11">
      <c r="A629" s="77" t="s">
        <v>240</v>
      </c>
      <c r="B629" s="84" t="s">
        <v>831</v>
      </c>
      <c r="C629" s="205">
        <v>6</v>
      </c>
      <c r="D629" s="138" t="s">
        <v>331</v>
      </c>
      <c r="E629" s="135">
        <v>0</v>
      </c>
      <c r="F629" s="211" t="s">
        <v>291</v>
      </c>
      <c r="G629" s="4">
        <v>1</v>
      </c>
      <c r="H629" s="23">
        <f t="shared" si="39"/>
        <v>32</v>
      </c>
      <c r="I629" s="22" t="s">
        <v>758</v>
      </c>
      <c r="J629" s="85"/>
      <c r="K629" s="76"/>
    </row>
    <row r="630" spans="1:11">
      <c r="A630" s="77" t="s">
        <v>240</v>
      </c>
      <c r="B630" s="84" t="s">
        <v>831</v>
      </c>
      <c r="C630" s="206">
        <v>7</v>
      </c>
      <c r="D630" s="138" t="s">
        <v>814</v>
      </c>
      <c r="E630" s="135">
        <v>0</v>
      </c>
      <c r="F630" s="211" t="s">
        <v>291</v>
      </c>
      <c r="G630" s="4">
        <v>2</v>
      </c>
      <c r="H630" s="23">
        <f t="shared" si="39"/>
        <v>34</v>
      </c>
      <c r="I630" s="22" t="s">
        <v>837</v>
      </c>
      <c r="J630" s="85"/>
      <c r="K630" s="76"/>
    </row>
    <row r="631" spans="1:11">
      <c r="A631" s="77" t="s">
        <v>240</v>
      </c>
      <c r="B631" s="84" t="s">
        <v>831</v>
      </c>
      <c r="C631" s="205">
        <v>8</v>
      </c>
      <c r="D631" s="138" t="s">
        <v>838</v>
      </c>
      <c r="E631" s="135">
        <v>0</v>
      </c>
      <c r="F631" s="211" t="s">
        <v>307</v>
      </c>
      <c r="G631" s="4">
        <v>2</v>
      </c>
      <c r="H631" s="23">
        <f t="shared" si="39"/>
        <v>36</v>
      </c>
      <c r="I631" s="22" t="s">
        <v>839</v>
      </c>
      <c r="J631" s="85"/>
      <c r="K631" s="76"/>
    </row>
    <row r="632" spans="1:11">
      <c r="A632" s="77" t="s">
        <v>240</v>
      </c>
      <c r="B632" s="84" t="s">
        <v>831</v>
      </c>
      <c r="C632" s="206">
        <v>9</v>
      </c>
      <c r="D632" s="138" t="s">
        <v>840</v>
      </c>
      <c r="E632" s="135">
        <v>0</v>
      </c>
      <c r="F632" s="211" t="s">
        <v>291</v>
      </c>
      <c r="G632" s="4">
        <v>75</v>
      </c>
      <c r="H632" s="23">
        <f t="shared" si="39"/>
        <v>111</v>
      </c>
      <c r="I632" s="22" t="s">
        <v>380</v>
      </c>
      <c r="J632" s="85"/>
      <c r="K632" s="76"/>
    </row>
    <row r="633" spans="1:11">
      <c r="A633" s="77" t="s">
        <v>240</v>
      </c>
      <c r="B633" s="84" t="s">
        <v>831</v>
      </c>
      <c r="C633" s="205">
        <v>10</v>
      </c>
      <c r="D633" s="138" t="s">
        <v>320</v>
      </c>
      <c r="E633" s="135">
        <v>0</v>
      </c>
      <c r="F633" s="211" t="s">
        <v>291</v>
      </c>
      <c r="G633" s="4">
        <v>8</v>
      </c>
      <c r="H633" s="23">
        <f t="shared" si="39"/>
        <v>119</v>
      </c>
      <c r="I633" s="22" t="s">
        <v>321</v>
      </c>
      <c r="J633" s="85"/>
      <c r="K633" s="76"/>
    </row>
    <row r="634" spans="1:11">
      <c r="A634" s="77" t="s">
        <v>240</v>
      </c>
      <c r="B634" s="80" t="s">
        <v>831</v>
      </c>
      <c r="C634" s="145">
        <v>11</v>
      </c>
      <c r="D634" s="139" t="s">
        <v>298</v>
      </c>
      <c r="E634" s="136">
        <v>0</v>
      </c>
      <c r="F634" s="215" t="s">
        <v>291</v>
      </c>
      <c r="G634" s="134">
        <v>1</v>
      </c>
      <c r="H634" s="74">
        <f t="shared" si="39"/>
        <v>120</v>
      </c>
      <c r="I634" s="36" t="s">
        <v>299</v>
      </c>
      <c r="J634" s="74"/>
      <c r="K634" s="74"/>
    </row>
    <row r="635" spans="1:11">
      <c r="A635" s="77" t="s">
        <v>841</v>
      </c>
      <c r="B635" s="79" t="s">
        <v>842</v>
      </c>
      <c r="C635" s="76">
        <v>1</v>
      </c>
      <c r="D635" s="138" t="s">
        <v>290</v>
      </c>
      <c r="E635" s="137">
        <v>0</v>
      </c>
      <c r="F635" s="210" t="s">
        <v>291</v>
      </c>
      <c r="G635" s="133">
        <v>2</v>
      </c>
      <c r="H635" s="76">
        <v>2</v>
      </c>
      <c r="I635" s="75" t="s">
        <v>843</v>
      </c>
      <c r="J635" s="76"/>
      <c r="K635" s="76"/>
    </row>
    <row r="636" spans="1:11">
      <c r="A636" s="188" t="s">
        <v>247</v>
      </c>
      <c r="B636" s="189" t="s">
        <v>245</v>
      </c>
      <c r="C636" s="191">
        <v>2</v>
      </c>
      <c r="D636" s="184" t="s">
        <v>302</v>
      </c>
      <c r="E636" s="196">
        <v>0</v>
      </c>
      <c r="F636" s="214" t="s">
        <v>291</v>
      </c>
      <c r="G636" s="198">
        <v>3</v>
      </c>
      <c r="H636" s="186">
        <f t="shared" ref="H636:H647" si="40">H635+G636</f>
        <v>5</v>
      </c>
      <c r="I636" s="187" t="s">
        <v>503</v>
      </c>
      <c r="J636" s="85"/>
      <c r="K636" s="76"/>
    </row>
    <row r="637" spans="1:11">
      <c r="A637" s="77" t="s">
        <v>247</v>
      </c>
      <c r="B637" s="79" t="s">
        <v>245</v>
      </c>
      <c r="C637" s="206">
        <v>3</v>
      </c>
      <c r="D637" s="138" t="s">
        <v>320</v>
      </c>
      <c r="E637" s="135">
        <v>0</v>
      </c>
      <c r="F637" s="211" t="s">
        <v>291</v>
      </c>
      <c r="G637" s="4">
        <v>12</v>
      </c>
      <c r="H637" s="23">
        <f t="shared" si="40"/>
        <v>17</v>
      </c>
      <c r="I637" s="22" t="s">
        <v>380</v>
      </c>
      <c r="J637" s="85"/>
      <c r="K637" s="76"/>
    </row>
    <row r="638" spans="1:11">
      <c r="A638" s="77" t="s">
        <v>247</v>
      </c>
      <c r="B638" s="79" t="s">
        <v>245</v>
      </c>
      <c r="C638" s="205">
        <v>4</v>
      </c>
      <c r="D638" s="138" t="s">
        <v>844</v>
      </c>
      <c r="E638" s="135">
        <v>0</v>
      </c>
      <c r="F638" s="211" t="s">
        <v>291</v>
      </c>
      <c r="G638" s="4">
        <v>2</v>
      </c>
      <c r="H638" s="23">
        <f t="shared" si="40"/>
        <v>19</v>
      </c>
      <c r="I638" s="22" t="s">
        <v>845</v>
      </c>
      <c r="J638" s="85"/>
      <c r="K638" s="76"/>
    </row>
    <row r="639" spans="1:11">
      <c r="A639" s="77" t="s">
        <v>247</v>
      </c>
      <c r="B639" s="79" t="s">
        <v>245</v>
      </c>
      <c r="C639" s="206">
        <v>5</v>
      </c>
      <c r="D639" s="138" t="s">
        <v>846</v>
      </c>
      <c r="E639" s="135">
        <v>0</v>
      </c>
      <c r="F639" s="211" t="s">
        <v>291</v>
      </c>
      <c r="G639" s="4">
        <v>8</v>
      </c>
      <c r="H639" s="23">
        <f t="shared" si="40"/>
        <v>27</v>
      </c>
      <c r="I639" s="22" t="s">
        <v>310</v>
      </c>
      <c r="J639" s="85"/>
      <c r="K639" s="76"/>
    </row>
    <row r="640" spans="1:11">
      <c r="A640" s="77" t="s">
        <v>247</v>
      </c>
      <c r="B640" s="79" t="s">
        <v>245</v>
      </c>
      <c r="C640" s="205">
        <v>6</v>
      </c>
      <c r="D640" s="138" t="s">
        <v>847</v>
      </c>
      <c r="E640" s="135">
        <v>0</v>
      </c>
      <c r="F640" s="211" t="s">
        <v>291</v>
      </c>
      <c r="G640" s="4">
        <v>6</v>
      </c>
      <c r="H640" s="23">
        <f t="shared" si="40"/>
        <v>33</v>
      </c>
      <c r="I640" s="22" t="s">
        <v>848</v>
      </c>
      <c r="J640" s="85"/>
      <c r="K640" s="76"/>
    </row>
    <row r="641" spans="1:11">
      <c r="A641" s="77" t="s">
        <v>247</v>
      </c>
      <c r="B641" s="79" t="s">
        <v>245</v>
      </c>
      <c r="C641" s="206">
        <v>7</v>
      </c>
      <c r="D641" s="138" t="s">
        <v>331</v>
      </c>
      <c r="E641" s="135">
        <v>0</v>
      </c>
      <c r="F641" s="211" t="s">
        <v>291</v>
      </c>
      <c r="G641" s="4">
        <v>1</v>
      </c>
      <c r="H641" s="23">
        <f t="shared" si="40"/>
        <v>34</v>
      </c>
      <c r="I641" s="22" t="s">
        <v>849</v>
      </c>
      <c r="J641" s="85"/>
      <c r="K641" s="76"/>
    </row>
    <row r="642" spans="1:11">
      <c r="A642" s="77" t="s">
        <v>247</v>
      </c>
      <c r="B642" s="79" t="s">
        <v>245</v>
      </c>
      <c r="C642" s="205">
        <v>8</v>
      </c>
      <c r="D642" s="138" t="s">
        <v>850</v>
      </c>
      <c r="E642" s="135">
        <v>0</v>
      </c>
      <c r="F642" s="211" t="s">
        <v>291</v>
      </c>
      <c r="G642" s="4">
        <v>4</v>
      </c>
      <c r="H642" s="23">
        <f t="shared" si="40"/>
        <v>38</v>
      </c>
      <c r="I642" s="22" t="s">
        <v>851</v>
      </c>
      <c r="J642" s="85"/>
      <c r="K642" s="76"/>
    </row>
    <row r="643" spans="1:11" ht="33.75">
      <c r="A643" s="77" t="s">
        <v>247</v>
      </c>
      <c r="B643" s="79" t="s">
        <v>245</v>
      </c>
      <c r="C643" s="206">
        <v>9</v>
      </c>
      <c r="D643" s="138" t="s">
        <v>852</v>
      </c>
      <c r="E643" s="135">
        <v>0</v>
      </c>
      <c r="F643" s="211" t="s">
        <v>291</v>
      </c>
      <c r="G643" s="4">
        <v>2</v>
      </c>
      <c r="H643" s="23">
        <f t="shared" si="40"/>
        <v>40</v>
      </c>
      <c r="I643" s="22" t="s">
        <v>853</v>
      </c>
      <c r="J643" s="85"/>
      <c r="K643" s="76"/>
    </row>
    <row r="644" spans="1:11">
      <c r="A644" s="77" t="s">
        <v>247</v>
      </c>
      <c r="B644" s="79" t="s">
        <v>245</v>
      </c>
      <c r="C644" s="205">
        <v>10</v>
      </c>
      <c r="D644" s="138" t="s">
        <v>854</v>
      </c>
      <c r="E644" s="135">
        <v>0</v>
      </c>
      <c r="F644" s="211" t="s">
        <v>291</v>
      </c>
      <c r="G644" s="4">
        <v>4</v>
      </c>
      <c r="H644" s="23">
        <f t="shared" si="40"/>
        <v>44</v>
      </c>
      <c r="I644" s="22" t="s">
        <v>855</v>
      </c>
      <c r="J644" s="85"/>
      <c r="K644" s="76"/>
    </row>
    <row r="645" spans="1:11">
      <c r="A645" s="77" t="s">
        <v>247</v>
      </c>
      <c r="B645" s="79" t="s">
        <v>245</v>
      </c>
      <c r="C645" s="206">
        <v>11</v>
      </c>
      <c r="D645" s="138" t="s">
        <v>856</v>
      </c>
      <c r="E645" s="135">
        <v>5</v>
      </c>
      <c r="F645" s="211" t="s">
        <v>312</v>
      </c>
      <c r="G645" s="4">
        <v>9</v>
      </c>
      <c r="H645" s="23">
        <f t="shared" si="40"/>
        <v>53</v>
      </c>
      <c r="I645" s="22" t="s">
        <v>857</v>
      </c>
      <c r="J645" s="85"/>
      <c r="K645" s="76"/>
    </row>
    <row r="646" spans="1:11">
      <c r="A646" s="77" t="s">
        <v>247</v>
      </c>
      <c r="B646" s="79" t="s">
        <v>245</v>
      </c>
      <c r="C646" s="205">
        <v>12</v>
      </c>
      <c r="D646" s="138" t="s">
        <v>320</v>
      </c>
      <c r="E646" s="135">
        <v>0</v>
      </c>
      <c r="F646" s="211" t="s">
        <v>291</v>
      </c>
      <c r="G646" s="4">
        <v>446</v>
      </c>
      <c r="H646" s="23">
        <f t="shared" si="40"/>
        <v>499</v>
      </c>
      <c r="I646" s="22" t="s">
        <v>321</v>
      </c>
      <c r="J646" s="85"/>
      <c r="K646" s="76"/>
    </row>
    <row r="647" spans="1:11">
      <c r="A647" s="77" t="s">
        <v>247</v>
      </c>
      <c r="B647" s="36" t="s">
        <v>245</v>
      </c>
      <c r="C647" s="145">
        <v>13</v>
      </c>
      <c r="D647" s="139" t="s">
        <v>298</v>
      </c>
      <c r="E647" s="136">
        <v>0</v>
      </c>
      <c r="F647" s="215" t="s">
        <v>291</v>
      </c>
      <c r="G647" s="134">
        <v>1</v>
      </c>
      <c r="H647" s="74">
        <f t="shared" si="40"/>
        <v>500</v>
      </c>
      <c r="I647" s="36" t="s">
        <v>299</v>
      </c>
      <c r="J647" s="74"/>
      <c r="K647" s="74"/>
    </row>
    <row r="648" spans="1:11">
      <c r="A648" s="77" t="s">
        <v>249</v>
      </c>
      <c r="B648" s="84" t="s">
        <v>858</v>
      </c>
      <c r="C648" s="76">
        <v>1</v>
      </c>
      <c r="D648" s="138" t="s">
        <v>290</v>
      </c>
      <c r="E648" s="137">
        <v>0</v>
      </c>
      <c r="F648" s="210" t="s">
        <v>291</v>
      </c>
      <c r="G648" s="133">
        <v>2</v>
      </c>
      <c r="H648" s="76">
        <v>2</v>
      </c>
      <c r="I648" s="75" t="s">
        <v>843</v>
      </c>
      <c r="J648" s="85"/>
      <c r="K648" s="85"/>
    </row>
    <row r="649" spans="1:11">
      <c r="A649" s="188" t="s">
        <v>249</v>
      </c>
      <c r="B649" s="199" t="s">
        <v>248</v>
      </c>
      <c r="C649" s="191">
        <v>2</v>
      </c>
      <c r="D649" s="184" t="s">
        <v>302</v>
      </c>
      <c r="E649" s="196">
        <v>0</v>
      </c>
      <c r="F649" s="214" t="s">
        <v>291</v>
      </c>
      <c r="G649" s="198">
        <v>3</v>
      </c>
      <c r="H649" s="186">
        <f t="shared" ref="H649:H665" si="41">H648+G649</f>
        <v>5</v>
      </c>
      <c r="I649" s="187" t="s">
        <v>503</v>
      </c>
      <c r="J649" s="85"/>
      <c r="K649" s="85"/>
    </row>
    <row r="650" spans="1:11">
      <c r="A650" s="77" t="s">
        <v>249</v>
      </c>
      <c r="B650" s="84" t="s">
        <v>248</v>
      </c>
      <c r="C650" s="206">
        <v>3</v>
      </c>
      <c r="D650" s="138" t="s">
        <v>320</v>
      </c>
      <c r="E650" s="135">
        <v>0</v>
      </c>
      <c r="F650" s="211" t="s">
        <v>291</v>
      </c>
      <c r="G650" s="4">
        <v>12</v>
      </c>
      <c r="H650" s="23">
        <f t="shared" si="41"/>
        <v>17</v>
      </c>
      <c r="I650" s="86"/>
      <c r="J650" s="85"/>
      <c r="K650" s="85"/>
    </row>
    <row r="651" spans="1:11">
      <c r="A651" s="77" t="s">
        <v>249</v>
      </c>
      <c r="B651" s="84" t="s">
        <v>248</v>
      </c>
      <c r="C651" s="205">
        <v>4</v>
      </c>
      <c r="D651" s="138" t="s">
        <v>844</v>
      </c>
      <c r="E651" s="135">
        <v>0</v>
      </c>
      <c r="F651" s="211" t="s">
        <v>291</v>
      </c>
      <c r="G651" s="4">
        <v>2</v>
      </c>
      <c r="H651" s="23">
        <f t="shared" si="41"/>
        <v>19</v>
      </c>
      <c r="I651" s="86" t="s">
        <v>859</v>
      </c>
      <c r="J651" s="85"/>
      <c r="K651" s="85"/>
    </row>
    <row r="652" spans="1:11">
      <c r="A652" s="77" t="s">
        <v>249</v>
      </c>
      <c r="B652" s="84" t="s">
        <v>248</v>
      </c>
      <c r="C652" s="206">
        <v>5</v>
      </c>
      <c r="D652" s="141" t="s">
        <v>860</v>
      </c>
      <c r="E652" s="135">
        <v>0</v>
      </c>
      <c r="F652" s="211" t="s">
        <v>307</v>
      </c>
      <c r="G652" s="4">
        <v>8</v>
      </c>
      <c r="H652" s="23">
        <f t="shared" si="41"/>
        <v>27</v>
      </c>
      <c r="I652" s="86" t="s">
        <v>861</v>
      </c>
      <c r="J652" s="85"/>
      <c r="K652" s="85"/>
    </row>
    <row r="653" spans="1:11">
      <c r="A653" s="77" t="s">
        <v>249</v>
      </c>
      <c r="B653" s="84" t="s">
        <v>248</v>
      </c>
      <c r="C653" s="205">
        <v>6</v>
      </c>
      <c r="D653" s="141" t="s">
        <v>862</v>
      </c>
      <c r="E653" s="135">
        <v>0</v>
      </c>
      <c r="F653" s="211" t="s">
        <v>291</v>
      </c>
      <c r="G653" s="4">
        <v>8</v>
      </c>
      <c r="H653" s="23">
        <f t="shared" si="41"/>
        <v>35</v>
      </c>
      <c r="I653" s="86" t="s">
        <v>863</v>
      </c>
      <c r="J653" s="85"/>
      <c r="K653" s="85"/>
    </row>
    <row r="654" spans="1:11">
      <c r="A654" s="77" t="s">
        <v>249</v>
      </c>
      <c r="B654" s="84" t="s">
        <v>248</v>
      </c>
      <c r="C654" s="206">
        <v>7</v>
      </c>
      <c r="D654" s="141" t="s">
        <v>846</v>
      </c>
      <c r="E654" s="135">
        <v>0</v>
      </c>
      <c r="F654" s="211" t="s">
        <v>291</v>
      </c>
      <c r="G654" s="4">
        <v>8</v>
      </c>
      <c r="H654" s="23">
        <f t="shared" si="41"/>
        <v>43</v>
      </c>
      <c r="I654" s="86" t="s">
        <v>864</v>
      </c>
      <c r="J654" s="85"/>
      <c r="K654" s="85"/>
    </row>
    <row r="655" spans="1:11">
      <c r="A655" s="77" t="s">
        <v>249</v>
      </c>
      <c r="B655" s="84" t="s">
        <v>248</v>
      </c>
      <c r="C655" s="205">
        <v>8</v>
      </c>
      <c r="D655" s="141" t="s">
        <v>847</v>
      </c>
      <c r="E655" s="135">
        <v>0</v>
      </c>
      <c r="F655" s="211" t="s">
        <v>291</v>
      </c>
      <c r="G655" s="4">
        <v>6</v>
      </c>
      <c r="H655" s="23">
        <f t="shared" si="41"/>
        <v>49</v>
      </c>
      <c r="I655" s="86" t="s">
        <v>865</v>
      </c>
      <c r="J655" s="85"/>
      <c r="K655" s="85"/>
    </row>
    <row r="656" spans="1:11">
      <c r="A656" s="77" t="s">
        <v>249</v>
      </c>
      <c r="B656" s="84" t="s">
        <v>248</v>
      </c>
      <c r="C656" s="206">
        <v>9</v>
      </c>
      <c r="D656" s="141" t="s">
        <v>331</v>
      </c>
      <c r="E656" s="135">
        <v>0</v>
      </c>
      <c r="F656" s="211" t="s">
        <v>291</v>
      </c>
      <c r="G656" s="4">
        <v>1</v>
      </c>
      <c r="H656" s="23">
        <f t="shared" si="41"/>
        <v>50</v>
      </c>
      <c r="I656" s="86" t="s">
        <v>758</v>
      </c>
      <c r="J656" s="85"/>
      <c r="K656" s="85"/>
    </row>
    <row r="657" spans="1:11">
      <c r="A657" s="77" t="s">
        <v>249</v>
      </c>
      <c r="B657" s="84" t="s">
        <v>248</v>
      </c>
      <c r="C657" s="205">
        <v>10</v>
      </c>
      <c r="D657" s="141" t="s">
        <v>866</v>
      </c>
      <c r="E657" s="135">
        <v>0</v>
      </c>
      <c r="F657" s="211" t="s">
        <v>291</v>
      </c>
      <c r="G657" s="4">
        <v>3</v>
      </c>
      <c r="H657" s="23">
        <f t="shared" si="41"/>
        <v>53</v>
      </c>
      <c r="I657" s="86" t="s">
        <v>867</v>
      </c>
      <c r="J657" s="85"/>
      <c r="K657" s="85"/>
    </row>
    <row r="658" spans="1:11" ht="33.75">
      <c r="A658" s="77" t="s">
        <v>249</v>
      </c>
      <c r="B658" s="84" t="s">
        <v>248</v>
      </c>
      <c r="C658" s="206">
        <v>11</v>
      </c>
      <c r="D658" s="141" t="s">
        <v>868</v>
      </c>
      <c r="E658" s="135">
        <v>0</v>
      </c>
      <c r="F658" s="211" t="s">
        <v>291</v>
      </c>
      <c r="G658" s="4">
        <v>1</v>
      </c>
      <c r="H658" s="23">
        <f t="shared" si="41"/>
        <v>54</v>
      </c>
      <c r="I658" s="86" t="s">
        <v>869</v>
      </c>
      <c r="J658" s="85"/>
      <c r="K658" s="85"/>
    </row>
    <row r="659" spans="1:11">
      <c r="A659" s="77" t="s">
        <v>249</v>
      </c>
      <c r="B659" s="84" t="s">
        <v>248</v>
      </c>
      <c r="C659" s="205">
        <v>12</v>
      </c>
      <c r="D659" s="141" t="s">
        <v>870</v>
      </c>
      <c r="E659" s="135">
        <v>0</v>
      </c>
      <c r="F659" s="211" t="s">
        <v>291</v>
      </c>
      <c r="G659" s="4">
        <v>6</v>
      </c>
      <c r="H659" s="23">
        <f t="shared" si="41"/>
        <v>60</v>
      </c>
      <c r="I659" s="86" t="s">
        <v>871</v>
      </c>
      <c r="J659" s="85"/>
      <c r="K659" s="85"/>
    </row>
    <row r="660" spans="1:11">
      <c r="A660" s="77" t="s">
        <v>249</v>
      </c>
      <c r="B660" s="84" t="s">
        <v>248</v>
      </c>
      <c r="C660" s="206">
        <v>13</v>
      </c>
      <c r="D660" s="141" t="s">
        <v>872</v>
      </c>
      <c r="E660" s="135">
        <v>5</v>
      </c>
      <c r="F660" s="216" t="s">
        <v>312</v>
      </c>
      <c r="G660" s="4">
        <v>9</v>
      </c>
      <c r="H660" s="23">
        <f t="shared" si="41"/>
        <v>69</v>
      </c>
      <c r="I660" s="86" t="s">
        <v>857</v>
      </c>
      <c r="J660" s="85"/>
      <c r="K660" s="85"/>
    </row>
    <row r="661" spans="1:11">
      <c r="A661" s="77" t="s">
        <v>249</v>
      </c>
      <c r="B661" s="84" t="s">
        <v>248</v>
      </c>
      <c r="C661" s="205">
        <v>14</v>
      </c>
      <c r="D661" s="141" t="s">
        <v>873</v>
      </c>
      <c r="E661" s="135">
        <v>5</v>
      </c>
      <c r="F661" s="216" t="s">
        <v>312</v>
      </c>
      <c r="G661" s="4">
        <v>9</v>
      </c>
      <c r="H661" s="23">
        <f t="shared" si="41"/>
        <v>78</v>
      </c>
      <c r="I661" s="86" t="s">
        <v>857</v>
      </c>
      <c r="J661" s="85"/>
      <c r="K661" s="85"/>
    </row>
    <row r="662" spans="1:11">
      <c r="A662" s="77" t="s">
        <v>249</v>
      </c>
      <c r="B662" s="84" t="s">
        <v>248</v>
      </c>
      <c r="C662" s="206">
        <v>15</v>
      </c>
      <c r="D662" s="141" t="s">
        <v>874</v>
      </c>
      <c r="E662" s="135">
        <v>0</v>
      </c>
      <c r="F662" s="216" t="s">
        <v>307</v>
      </c>
      <c r="G662" s="4">
        <v>10</v>
      </c>
      <c r="H662" s="23">
        <f t="shared" si="41"/>
        <v>88</v>
      </c>
      <c r="I662" s="86" t="s">
        <v>551</v>
      </c>
      <c r="J662" s="85"/>
      <c r="K662" s="85"/>
    </row>
    <row r="663" spans="1:11">
      <c r="A663" s="77" t="s">
        <v>249</v>
      </c>
      <c r="B663" s="84" t="s">
        <v>248</v>
      </c>
      <c r="C663" s="205">
        <v>16</v>
      </c>
      <c r="D663" s="141" t="s">
        <v>875</v>
      </c>
      <c r="E663" s="135">
        <v>0</v>
      </c>
      <c r="F663" s="216" t="s">
        <v>307</v>
      </c>
      <c r="G663" s="4">
        <v>10</v>
      </c>
      <c r="H663" s="23">
        <f t="shared" si="41"/>
        <v>98</v>
      </c>
      <c r="I663" s="86" t="s">
        <v>551</v>
      </c>
      <c r="J663" s="85"/>
      <c r="K663" s="85"/>
    </row>
    <row r="664" spans="1:11">
      <c r="A664" s="77" t="s">
        <v>249</v>
      </c>
      <c r="B664" s="84" t="s">
        <v>248</v>
      </c>
      <c r="C664" s="206">
        <v>17</v>
      </c>
      <c r="D664" s="141" t="s">
        <v>320</v>
      </c>
      <c r="E664" s="135">
        <v>0</v>
      </c>
      <c r="F664" s="211" t="s">
        <v>291</v>
      </c>
      <c r="G664" s="4">
        <v>401</v>
      </c>
      <c r="H664" s="23">
        <f t="shared" si="41"/>
        <v>499</v>
      </c>
      <c r="I664" s="86" t="s">
        <v>876</v>
      </c>
      <c r="J664" s="85"/>
      <c r="K664" s="85"/>
    </row>
    <row r="665" spans="1:11">
      <c r="A665" s="77" t="s">
        <v>249</v>
      </c>
      <c r="B665" s="156" t="s">
        <v>248</v>
      </c>
      <c r="C665" s="149">
        <v>18</v>
      </c>
      <c r="D665" s="139" t="s">
        <v>877</v>
      </c>
      <c r="E665" s="72">
        <v>0</v>
      </c>
      <c r="F665" s="215" t="s">
        <v>291</v>
      </c>
      <c r="G665" s="110">
        <v>1</v>
      </c>
      <c r="H665" s="74">
        <f t="shared" si="41"/>
        <v>500</v>
      </c>
      <c r="I665" s="82" t="s">
        <v>878</v>
      </c>
      <c r="J665" s="81"/>
      <c r="K665" s="81"/>
    </row>
    <row r="666" spans="1:11">
      <c r="A666" s="77" t="s">
        <v>879</v>
      </c>
      <c r="B666" s="79" t="s">
        <v>250</v>
      </c>
      <c r="C666" s="76">
        <v>1</v>
      </c>
      <c r="D666" s="138" t="s">
        <v>290</v>
      </c>
      <c r="E666" s="137">
        <v>0</v>
      </c>
      <c r="F666" s="210" t="s">
        <v>291</v>
      </c>
      <c r="G666" s="133">
        <v>2</v>
      </c>
      <c r="H666" s="76">
        <v>2</v>
      </c>
      <c r="I666" s="75" t="s">
        <v>880</v>
      </c>
      <c r="J666" s="76"/>
      <c r="K666" s="76"/>
    </row>
    <row r="667" spans="1:11">
      <c r="A667" s="188" t="s">
        <v>251</v>
      </c>
      <c r="B667" s="199" t="s">
        <v>250</v>
      </c>
      <c r="C667" s="191">
        <v>2</v>
      </c>
      <c r="D667" s="184" t="s">
        <v>302</v>
      </c>
      <c r="E667" s="196">
        <v>0</v>
      </c>
      <c r="F667" s="214" t="s">
        <v>291</v>
      </c>
      <c r="G667" s="198">
        <v>3</v>
      </c>
      <c r="H667" s="186">
        <f t="shared" ref="H667:H684" si="42">H666+G667</f>
        <v>5</v>
      </c>
      <c r="I667" s="187" t="s">
        <v>503</v>
      </c>
      <c r="J667" s="85"/>
      <c r="K667" s="76"/>
    </row>
    <row r="668" spans="1:11">
      <c r="A668" s="77" t="s">
        <v>251</v>
      </c>
      <c r="B668" s="84" t="s">
        <v>250</v>
      </c>
      <c r="C668" s="206">
        <v>3</v>
      </c>
      <c r="D668" s="138" t="s">
        <v>304</v>
      </c>
      <c r="E668" s="135">
        <v>0</v>
      </c>
      <c r="F668" s="211" t="s">
        <v>291</v>
      </c>
      <c r="G668" s="4">
        <v>12</v>
      </c>
      <c r="H668" s="23">
        <f t="shared" si="42"/>
        <v>17</v>
      </c>
      <c r="I668" s="22" t="s">
        <v>380</v>
      </c>
      <c r="J668" s="85"/>
      <c r="K668" s="76"/>
    </row>
    <row r="669" spans="1:11" ht="56.25">
      <c r="A669" s="77" t="s">
        <v>251</v>
      </c>
      <c r="B669" s="84" t="s">
        <v>250</v>
      </c>
      <c r="C669" s="205">
        <v>4</v>
      </c>
      <c r="D669" s="138" t="s">
        <v>844</v>
      </c>
      <c r="E669" s="135">
        <v>0</v>
      </c>
      <c r="F669" s="211" t="s">
        <v>291</v>
      </c>
      <c r="G669" s="4">
        <v>2</v>
      </c>
      <c r="H669" s="23">
        <f t="shared" si="42"/>
        <v>19</v>
      </c>
      <c r="I669" s="22" t="s">
        <v>881</v>
      </c>
      <c r="J669" s="85"/>
      <c r="K669" s="76"/>
    </row>
    <row r="670" spans="1:11">
      <c r="A670" s="77" t="s">
        <v>251</v>
      </c>
      <c r="B670" s="84" t="s">
        <v>250</v>
      </c>
      <c r="C670" s="206">
        <v>5</v>
      </c>
      <c r="D670" s="138" t="s">
        <v>882</v>
      </c>
      <c r="E670" s="135">
        <v>0</v>
      </c>
      <c r="F670" s="211" t="s">
        <v>291</v>
      </c>
      <c r="G670" s="4">
        <v>8</v>
      </c>
      <c r="H670" s="23">
        <f t="shared" si="42"/>
        <v>27</v>
      </c>
      <c r="I670" s="22" t="s">
        <v>310</v>
      </c>
      <c r="J670" s="85"/>
      <c r="K670" s="76"/>
    </row>
    <row r="671" spans="1:11">
      <c r="A671" s="77" t="s">
        <v>251</v>
      </c>
      <c r="B671" s="84" t="s">
        <v>250</v>
      </c>
      <c r="C671" s="205">
        <v>6</v>
      </c>
      <c r="D671" s="138" t="s">
        <v>769</v>
      </c>
      <c r="E671" s="135">
        <v>0</v>
      </c>
      <c r="F671" s="211" t="s">
        <v>291</v>
      </c>
      <c r="G671" s="4">
        <v>6</v>
      </c>
      <c r="H671" s="23">
        <f t="shared" si="42"/>
        <v>33</v>
      </c>
      <c r="I671" s="22" t="s">
        <v>865</v>
      </c>
      <c r="J671" s="85"/>
      <c r="K671" s="76"/>
    </row>
    <row r="672" spans="1:11">
      <c r="A672" s="77" t="s">
        <v>251</v>
      </c>
      <c r="B672" s="84" t="s">
        <v>250</v>
      </c>
      <c r="C672" s="206">
        <v>7</v>
      </c>
      <c r="D672" s="138" t="s">
        <v>331</v>
      </c>
      <c r="E672" s="135">
        <v>0</v>
      </c>
      <c r="F672" s="211" t="s">
        <v>291</v>
      </c>
      <c r="G672" s="4">
        <v>1</v>
      </c>
      <c r="H672" s="23">
        <f t="shared" si="42"/>
        <v>34</v>
      </c>
      <c r="I672" s="22" t="s">
        <v>758</v>
      </c>
      <c r="J672" s="85"/>
      <c r="K672" s="76"/>
    </row>
    <row r="673" spans="1:11">
      <c r="A673" s="77" t="s">
        <v>251</v>
      </c>
      <c r="B673" s="84" t="s">
        <v>250</v>
      </c>
      <c r="C673" s="205">
        <v>8</v>
      </c>
      <c r="D673" s="138" t="s">
        <v>883</v>
      </c>
      <c r="E673" s="135">
        <v>0</v>
      </c>
      <c r="F673" s="216" t="s">
        <v>307</v>
      </c>
      <c r="G673" s="4">
        <v>8</v>
      </c>
      <c r="H673" s="23">
        <f t="shared" si="42"/>
        <v>42</v>
      </c>
      <c r="I673" s="22" t="s">
        <v>380</v>
      </c>
      <c r="J673" s="85"/>
      <c r="K673" s="76"/>
    </row>
    <row r="674" spans="1:11">
      <c r="A674" s="77" t="s">
        <v>251</v>
      </c>
      <c r="B674" s="84" t="s">
        <v>250</v>
      </c>
      <c r="C674" s="206">
        <v>9</v>
      </c>
      <c r="D674" s="138" t="s">
        <v>884</v>
      </c>
      <c r="E674" s="135">
        <v>0</v>
      </c>
      <c r="F674" s="216" t="s">
        <v>307</v>
      </c>
      <c r="G674" s="4">
        <v>8</v>
      </c>
      <c r="H674" s="23">
        <f t="shared" si="42"/>
        <v>50</v>
      </c>
      <c r="I674" s="22" t="s">
        <v>885</v>
      </c>
      <c r="J674" s="85"/>
      <c r="K674" s="76"/>
    </row>
    <row r="675" spans="1:11">
      <c r="A675" s="77" t="s">
        <v>251</v>
      </c>
      <c r="B675" s="84" t="s">
        <v>250</v>
      </c>
      <c r="C675" s="205">
        <v>10</v>
      </c>
      <c r="D675" s="138" t="s">
        <v>886</v>
      </c>
      <c r="E675" s="135">
        <v>0</v>
      </c>
      <c r="F675" s="85"/>
      <c r="G675" s="4">
        <v>1</v>
      </c>
      <c r="H675" s="23">
        <f t="shared" si="42"/>
        <v>51</v>
      </c>
      <c r="I675" s="22" t="s">
        <v>887</v>
      </c>
      <c r="J675" s="85"/>
      <c r="K675" s="76"/>
    </row>
    <row r="676" spans="1:11">
      <c r="A676" s="77" t="s">
        <v>251</v>
      </c>
      <c r="B676" s="84" t="s">
        <v>250</v>
      </c>
      <c r="C676" s="206">
        <v>11</v>
      </c>
      <c r="D676" s="138" t="s">
        <v>344</v>
      </c>
      <c r="E676" s="135">
        <v>0</v>
      </c>
      <c r="F676" s="216" t="s">
        <v>307</v>
      </c>
      <c r="G676" s="4">
        <v>16</v>
      </c>
      <c r="H676" s="23">
        <f t="shared" si="42"/>
        <v>67</v>
      </c>
      <c r="I676" s="22" t="s">
        <v>888</v>
      </c>
      <c r="J676" s="85"/>
      <c r="K676" s="76"/>
    </row>
    <row r="677" spans="1:11" ht="22.5">
      <c r="A677" s="77" t="s">
        <v>251</v>
      </c>
      <c r="B677" s="84" t="s">
        <v>250</v>
      </c>
      <c r="C677" s="205">
        <v>12</v>
      </c>
      <c r="D677" s="138" t="s">
        <v>889</v>
      </c>
      <c r="E677" s="135">
        <v>0</v>
      </c>
      <c r="F677" s="216" t="s">
        <v>307</v>
      </c>
      <c r="G677" s="4">
        <v>8</v>
      </c>
      <c r="H677" s="23">
        <f t="shared" si="42"/>
        <v>75</v>
      </c>
      <c r="I677" s="22" t="s">
        <v>890</v>
      </c>
      <c r="J677" s="85"/>
      <c r="K677" s="76"/>
    </row>
    <row r="678" spans="1:11">
      <c r="A678" s="77" t="s">
        <v>251</v>
      </c>
      <c r="B678" s="84" t="s">
        <v>250</v>
      </c>
      <c r="C678" s="206">
        <v>13</v>
      </c>
      <c r="D678" s="138" t="s">
        <v>891</v>
      </c>
      <c r="E678" s="135">
        <v>5</v>
      </c>
      <c r="F678" s="216" t="s">
        <v>312</v>
      </c>
      <c r="G678" s="4">
        <v>8</v>
      </c>
      <c r="H678" s="23">
        <f t="shared" si="42"/>
        <v>83</v>
      </c>
      <c r="I678" s="22" t="s">
        <v>892</v>
      </c>
      <c r="J678" s="85"/>
      <c r="K678" s="76"/>
    </row>
    <row r="679" spans="1:11">
      <c r="A679" s="77" t="s">
        <v>251</v>
      </c>
      <c r="B679" s="84" t="s">
        <v>250</v>
      </c>
      <c r="C679" s="205">
        <v>14</v>
      </c>
      <c r="D679" s="138" t="s">
        <v>532</v>
      </c>
      <c r="E679" s="135">
        <v>0</v>
      </c>
      <c r="F679" s="211" t="s">
        <v>291</v>
      </c>
      <c r="G679" s="4">
        <v>8</v>
      </c>
      <c r="H679" s="23">
        <f t="shared" si="42"/>
        <v>91</v>
      </c>
      <c r="I679" s="22" t="s">
        <v>310</v>
      </c>
      <c r="J679" s="85"/>
      <c r="K679" s="76"/>
    </row>
    <row r="680" spans="1:11">
      <c r="A680" s="77" t="s">
        <v>251</v>
      </c>
      <c r="B680" s="84" t="s">
        <v>250</v>
      </c>
      <c r="C680" s="206">
        <v>15</v>
      </c>
      <c r="D680" s="138" t="s">
        <v>893</v>
      </c>
      <c r="E680" s="135">
        <v>5</v>
      </c>
      <c r="F680" s="216" t="s">
        <v>312</v>
      </c>
      <c r="G680" s="4">
        <v>8</v>
      </c>
      <c r="H680" s="23">
        <f t="shared" si="42"/>
        <v>99</v>
      </c>
      <c r="I680" s="22" t="s">
        <v>894</v>
      </c>
      <c r="J680" s="85"/>
      <c r="K680" s="76"/>
    </row>
    <row r="681" spans="1:11" ht="22.5">
      <c r="A681" s="77" t="s">
        <v>251</v>
      </c>
      <c r="B681" s="84" t="s">
        <v>250</v>
      </c>
      <c r="C681" s="205">
        <v>16</v>
      </c>
      <c r="D681" s="138" t="s">
        <v>895</v>
      </c>
      <c r="E681" s="135">
        <v>0</v>
      </c>
      <c r="F681" s="211" t="s">
        <v>291</v>
      </c>
      <c r="G681" s="4">
        <v>1</v>
      </c>
      <c r="H681" s="23">
        <f t="shared" si="42"/>
        <v>100</v>
      </c>
      <c r="I681" s="22" t="s">
        <v>896</v>
      </c>
      <c r="J681" s="85"/>
      <c r="K681" s="76"/>
    </row>
    <row r="682" spans="1:11" ht="22.5">
      <c r="A682" s="77" t="s">
        <v>251</v>
      </c>
      <c r="B682" s="84" t="s">
        <v>250</v>
      </c>
      <c r="C682" s="206">
        <v>17</v>
      </c>
      <c r="D682" s="138" t="s">
        <v>897</v>
      </c>
      <c r="E682" s="135">
        <v>4</v>
      </c>
      <c r="F682" s="216" t="s">
        <v>312</v>
      </c>
      <c r="G682" s="4">
        <v>8</v>
      </c>
      <c r="H682" s="23">
        <f t="shared" si="42"/>
        <v>108</v>
      </c>
      <c r="I682" s="22" t="s">
        <v>898</v>
      </c>
      <c r="J682" s="85"/>
      <c r="K682" s="76"/>
    </row>
    <row r="683" spans="1:11">
      <c r="A683" s="77" t="s">
        <v>251</v>
      </c>
      <c r="B683" s="84" t="s">
        <v>250</v>
      </c>
      <c r="C683" s="205">
        <v>18</v>
      </c>
      <c r="D683" s="138" t="s">
        <v>899</v>
      </c>
      <c r="E683" s="135">
        <v>0</v>
      </c>
      <c r="F683" s="211" t="s">
        <v>291</v>
      </c>
      <c r="G683" s="4">
        <v>1</v>
      </c>
      <c r="H683" s="23">
        <f t="shared" si="42"/>
        <v>109</v>
      </c>
      <c r="I683" s="22" t="s">
        <v>900</v>
      </c>
      <c r="J683" s="85"/>
      <c r="K683" s="76"/>
    </row>
    <row r="684" spans="1:11">
      <c r="A684" s="77" t="s">
        <v>251</v>
      </c>
      <c r="B684" s="80" t="s">
        <v>250</v>
      </c>
      <c r="C684" s="145">
        <v>19</v>
      </c>
      <c r="D684" s="139" t="s">
        <v>298</v>
      </c>
      <c r="E684" s="136">
        <v>0</v>
      </c>
      <c r="F684" s="215" t="s">
        <v>291</v>
      </c>
      <c r="G684" s="134">
        <v>1</v>
      </c>
      <c r="H684" s="74">
        <f t="shared" si="42"/>
        <v>110</v>
      </c>
      <c r="I684" s="36" t="s">
        <v>299</v>
      </c>
      <c r="J684" s="74"/>
      <c r="K684" s="74"/>
    </row>
    <row r="685" spans="1:11">
      <c r="A685" s="77" t="s">
        <v>901</v>
      </c>
      <c r="B685" s="79" t="s">
        <v>254</v>
      </c>
      <c r="C685" s="76">
        <v>1</v>
      </c>
      <c r="D685" s="138" t="s">
        <v>290</v>
      </c>
      <c r="E685" s="137">
        <v>0</v>
      </c>
      <c r="F685" s="210" t="s">
        <v>291</v>
      </c>
      <c r="G685" s="133">
        <v>2</v>
      </c>
      <c r="H685" s="76">
        <v>2</v>
      </c>
      <c r="I685" s="75" t="s">
        <v>902</v>
      </c>
      <c r="J685" s="76"/>
      <c r="K685" s="76"/>
    </row>
    <row r="686" spans="1:11">
      <c r="A686" s="188" t="s">
        <v>255</v>
      </c>
      <c r="B686" s="199" t="s">
        <v>254</v>
      </c>
      <c r="C686" s="191">
        <v>2</v>
      </c>
      <c r="D686" s="184" t="s">
        <v>302</v>
      </c>
      <c r="E686" s="196">
        <v>0</v>
      </c>
      <c r="F686" s="214" t="s">
        <v>291</v>
      </c>
      <c r="G686" s="198">
        <v>3</v>
      </c>
      <c r="H686" s="186">
        <f t="shared" ref="H686:H698" si="43">H685+G686</f>
        <v>5</v>
      </c>
      <c r="I686" s="187" t="s">
        <v>503</v>
      </c>
      <c r="J686" s="85"/>
      <c r="K686" s="76"/>
    </row>
    <row r="687" spans="1:11">
      <c r="A687" s="77" t="s">
        <v>255</v>
      </c>
      <c r="B687" s="84" t="s">
        <v>254</v>
      </c>
      <c r="C687" s="206">
        <v>3</v>
      </c>
      <c r="D687" s="138" t="s">
        <v>304</v>
      </c>
      <c r="E687" s="135">
        <v>0</v>
      </c>
      <c r="F687" s="211" t="s">
        <v>291</v>
      </c>
      <c r="G687" s="4">
        <v>12</v>
      </c>
      <c r="H687" s="23">
        <f t="shared" si="43"/>
        <v>17</v>
      </c>
      <c r="I687" s="22" t="s">
        <v>380</v>
      </c>
      <c r="J687" s="85"/>
      <c r="K687" s="76"/>
    </row>
    <row r="688" spans="1:11">
      <c r="A688" s="77" t="s">
        <v>255</v>
      </c>
      <c r="B688" s="84" t="s">
        <v>254</v>
      </c>
      <c r="C688" s="205">
        <v>4</v>
      </c>
      <c r="D688" s="138" t="s">
        <v>306</v>
      </c>
      <c r="E688" s="135">
        <v>0</v>
      </c>
      <c r="F688" s="216" t="s">
        <v>307</v>
      </c>
      <c r="G688" s="4">
        <v>8</v>
      </c>
      <c r="H688" s="23">
        <f t="shared" si="43"/>
        <v>25</v>
      </c>
      <c r="I688" s="22" t="s">
        <v>308</v>
      </c>
      <c r="J688" s="85"/>
      <c r="K688" s="76"/>
    </row>
    <row r="689" spans="1:11">
      <c r="A689" s="77" t="s">
        <v>255</v>
      </c>
      <c r="B689" s="84" t="s">
        <v>254</v>
      </c>
      <c r="C689" s="206">
        <v>5</v>
      </c>
      <c r="D689" s="138" t="s">
        <v>903</v>
      </c>
      <c r="E689" s="135">
        <v>0</v>
      </c>
      <c r="F689" s="211" t="s">
        <v>291</v>
      </c>
      <c r="G689" s="4">
        <v>8</v>
      </c>
      <c r="H689" s="23">
        <f t="shared" si="43"/>
        <v>33</v>
      </c>
      <c r="I689" s="22" t="s">
        <v>310</v>
      </c>
      <c r="J689" s="85"/>
      <c r="K689" s="76"/>
    </row>
    <row r="690" spans="1:11">
      <c r="A690" s="77" t="s">
        <v>255</v>
      </c>
      <c r="B690" s="84" t="s">
        <v>254</v>
      </c>
      <c r="C690" s="205">
        <v>6</v>
      </c>
      <c r="D690" s="138" t="s">
        <v>904</v>
      </c>
      <c r="E690" s="135">
        <v>0</v>
      </c>
      <c r="F690" s="211" t="s">
        <v>291</v>
      </c>
      <c r="G690" s="4">
        <v>4</v>
      </c>
      <c r="H690" s="23">
        <f t="shared" si="43"/>
        <v>37</v>
      </c>
      <c r="I690" s="22" t="s">
        <v>905</v>
      </c>
      <c r="J690" s="85"/>
      <c r="K690" s="76"/>
    </row>
    <row r="691" spans="1:11">
      <c r="A691" s="77" t="s">
        <v>255</v>
      </c>
      <c r="B691" s="84" t="s">
        <v>254</v>
      </c>
      <c r="C691" s="206">
        <v>7</v>
      </c>
      <c r="D691" s="138" t="s">
        <v>872</v>
      </c>
      <c r="E691" s="135">
        <v>5</v>
      </c>
      <c r="F691" s="216" t="s">
        <v>312</v>
      </c>
      <c r="G691" s="4">
        <v>10</v>
      </c>
      <c r="H691" s="23">
        <f t="shared" si="43"/>
        <v>47</v>
      </c>
      <c r="I691" s="22" t="s">
        <v>906</v>
      </c>
      <c r="J691" s="85"/>
      <c r="K691" s="76"/>
    </row>
    <row r="692" spans="1:11">
      <c r="A692" s="77" t="s">
        <v>255</v>
      </c>
      <c r="B692" s="84" t="s">
        <v>254</v>
      </c>
      <c r="C692" s="205">
        <v>8</v>
      </c>
      <c r="D692" s="138" t="s">
        <v>873</v>
      </c>
      <c r="E692" s="135">
        <v>5</v>
      </c>
      <c r="F692" s="216" t="s">
        <v>312</v>
      </c>
      <c r="G692" s="4">
        <v>10</v>
      </c>
      <c r="H692" s="23">
        <f t="shared" si="43"/>
        <v>57</v>
      </c>
      <c r="I692" s="22" t="s">
        <v>907</v>
      </c>
      <c r="J692" s="85"/>
      <c r="K692" s="76"/>
    </row>
    <row r="693" spans="1:11">
      <c r="A693" s="77" t="s">
        <v>255</v>
      </c>
      <c r="B693" s="84" t="s">
        <v>254</v>
      </c>
      <c r="C693" s="206">
        <v>9</v>
      </c>
      <c r="D693" s="138" t="s">
        <v>908</v>
      </c>
      <c r="E693" s="135">
        <v>0</v>
      </c>
      <c r="F693" s="216" t="s">
        <v>307</v>
      </c>
      <c r="G693" s="4">
        <v>20</v>
      </c>
      <c r="H693" s="23">
        <f t="shared" si="43"/>
        <v>77</v>
      </c>
      <c r="I693" s="22" t="s">
        <v>380</v>
      </c>
      <c r="J693" s="85"/>
      <c r="K693" s="76"/>
    </row>
    <row r="694" spans="1:11">
      <c r="A694" s="77" t="s">
        <v>255</v>
      </c>
      <c r="B694" s="84" t="s">
        <v>254</v>
      </c>
      <c r="C694" s="205">
        <v>10</v>
      </c>
      <c r="D694" s="138" t="s">
        <v>909</v>
      </c>
      <c r="E694" s="135">
        <v>0</v>
      </c>
      <c r="F694" s="216" t="s">
        <v>307</v>
      </c>
      <c r="G694" s="4">
        <v>20</v>
      </c>
      <c r="H694" s="23">
        <f t="shared" si="43"/>
        <v>97</v>
      </c>
      <c r="I694" s="22" t="s">
        <v>380</v>
      </c>
      <c r="J694" s="85"/>
      <c r="K694" s="76"/>
    </row>
    <row r="695" spans="1:11">
      <c r="A695" s="77" t="s">
        <v>255</v>
      </c>
      <c r="B695" s="84" t="s">
        <v>254</v>
      </c>
      <c r="C695" s="206">
        <v>11</v>
      </c>
      <c r="D695" s="138" t="s">
        <v>910</v>
      </c>
      <c r="E695" s="135">
        <v>0</v>
      </c>
      <c r="F695" s="216" t="s">
        <v>307</v>
      </c>
      <c r="G695" s="4">
        <v>20</v>
      </c>
      <c r="H695" s="23">
        <f t="shared" si="43"/>
        <v>117</v>
      </c>
      <c r="I695" s="22" t="s">
        <v>380</v>
      </c>
      <c r="J695" s="85"/>
      <c r="K695" s="76"/>
    </row>
    <row r="696" spans="1:11">
      <c r="A696" s="77" t="s">
        <v>255</v>
      </c>
      <c r="B696" s="84" t="s">
        <v>254</v>
      </c>
      <c r="C696" s="205">
        <v>12</v>
      </c>
      <c r="D696" s="138" t="s">
        <v>911</v>
      </c>
      <c r="E696" s="135">
        <v>0</v>
      </c>
      <c r="F696" s="216" t="s">
        <v>307</v>
      </c>
      <c r="G696" s="4">
        <v>20</v>
      </c>
      <c r="H696" s="23">
        <f t="shared" si="43"/>
        <v>137</v>
      </c>
      <c r="I696" s="22" t="s">
        <v>380</v>
      </c>
      <c r="J696" s="85"/>
      <c r="K696" s="76"/>
    </row>
    <row r="697" spans="1:11">
      <c r="A697" s="77" t="s">
        <v>255</v>
      </c>
      <c r="B697" s="84" t="s">
        <v>254</v>
      </c>
      <c r="C697" s="206">
        <v>13</v>
      </c>
      <c r="D697" s="138" t="s">
        <v>320</v>
      </c>
      <c r="E697" s="135">
        <v>0</v>
      </c>
      <c r="F697" s="211" t="s">
        <v>291</v>
      </c>
      <c r="G697" s="4">
        <v>2</v>
      </c>
      <c r="H697" s="23">
        <f t="shared" si="43"/>
        <v>139</v>
      </c>
      <c r="I697" s="22" t="s">
        <v>321</v>
      </c>
      <c r="J697" s="85"/>
      <c r="K697" s="76"/>
    </row>
    <row r="698" spans="1:11">
      <c r="A698" s="77" t="s">
        <v>255</v>
      </c>
      <c r="B698" s="80" t="s">
        <v>254</v>
      </c>
      <c r="C698" s="149">
        <v>14</v>
      </c>
      <c r="D698" s="139" t="s">
        <v>298</v>
      </c>
      <c r="E698" s="136">
        <v>0</v>
      </c>
      <c r="F698" s="215" t="s">
        <v>291</v>
      </c>
      <c r="G698" s="134">
        <v>1</v>
      </c>
      <c r="H698" s="74">
        <f t="shared" si="43"/>
        <v>140</v>
      </c>
      <c r="I698" s="36" t="s">
        <v>299</v>
      </c>
      <c r="J698" s="74"/>
      <c r="K698" s="74"/>
    </row>
    <row r="699" spans="1:11">
      <c r="A699" s="77" t="s">
        <v>912</v>
      </c>
      <c r="B699" s="79" t="s">
        <v>256</v>
      </c>
      <c r="C699" s="76">
        <v>1</v>
      </c>
      <c r="D699" s="138" t="s">
        <v>290</v>
      </c>
      <c r="E699" s="137">
        <v>0</v>
      </c>
      <c r="F699" s="210" t="s">
        <v>291</v>
      </c>
      <c r="G699" s="133">
        <v>2</v>
      </c>
      <c r="H699" s="76">
        <v>2</v>
      </c>
      <c r="I699" s="75" t="s">
        <v>913</v>
      </c>
      <c r="J699" s="76"/>
      <c r="K699" s="76"/>
    </row>
    <row r="700" spans="1:11">
      <c r="A700" s="188" t="s">
        <v>257</v>
      </c>
      <c r="B700" s="199" t="s">
        <v>256</v>
      </c>
      <c r="C700" s="191">
        <v>2</v>
      </c>
      <c r="D700" s="184" t="s">
        <v>302</v>
      </c>
      <c r="E700" s="196">
        <v>0</v>
      </c>
      <c r="F700" s="214" t="s">
        <v>291</v>
      </c>
      <c r="G700" s="198">
        <v>3</v>
      </c>
      <c r="H700" s="186">
        <f t="shared" ref="H700:H712" si="44">H699+G700</f>
        <v>5</v>
      </c>
      <c r="I700" s="187" t="s">
        <v>503</v>
      </c>
      <c r="J700" s="85"/>
      <c r="K700" s="76"/>
    </row>
    <row r="701" spans="1:11">
      <c r="A701" s="77" t="s">
        <v>257</v>
      </c>
      <c r="B701" s="84" t="s">
        <v>256</v>
      </c>
      <c r="C701" s="206">
        <v>3</v>
      </c>
      <c r="D701" s="138" t="s">
        <v>914</v>
      </c>
      <c r="E701" s="135">
        <v>0</v>
      </c>
      <c r="F701" s="211" t="s">
        <v>291</v>
      </c>
      <c r="G701" s="4">
        <v>1</v>
      </c>
      <c r="H701" s="23">
        <f t="shared" si="44"/>
        <v>6</v>
      </c>
      <c r="I701" s="22" t="s">
        <v>915</v>
      </c>
      <c r="J701" s="85"/>
      <c r="K701" s="76"/>
    </row>
    <row r="702" spans="1:11">
      <c r="A702" s="77" t="s">
        <v>257</v>
      </c>
      <c r="B702" s="84" t="s">
        <v>256</v>
      </c>
      <c r="C702" s="205">
        <v>4</v>
      </c>
      <c r="D702" s="138" t="s">
        <v>414</v>
      </c>
      <c r="E702" s="135">
        <v>0</v>
      </c>
      <c r="F702" s="211" t="s">
        <v>291</v>
      </c>
      <c r="G702" s="4">
        <v>8</v>
      </c>
      <c r="H702" s="23">
        <f t="shared" si="44"/>
        <v>14</v>
      </c>
      <c r="I702" s="22" t="s">
        <v>310</v>
      </c>
      <c r="J702" s="85"/>
      <c r="K702" s="76"/>
    </row>
    <row r="703" spans="1:11">
      <c r="A703" s="77" t="s">
        <v>257</v>
      </c>
      <c r="B703" s="84" t="s">
        <v>256</v>
      </c>
      <c r="C703" s="206">
        <v>5</v>
      </c>
      <c r="D703" s="138" t="s">
        <v>916</v>
      </c>
      <c r="E703" s="135">
        <v>0</v>
      </c>
      <c r="F703" s="211" t="s">
        <v>291</v>
      </c>
      <c r="G703" s="4">
        <v>4</v>
      </c>
      <c r="H703" s="23">
        <f t="shared" si="44"/>
        <v>18</v>
      </c>
      <c r="I703" s="22" t="s">
        <v>905</v>
      </c>
      <c r="J703" s="85"/>
      <c r="K703" s="76"/>
    </row>
    <row r="704" spans="1:11">
      <c r="A704" s="77" t="s">
        <v>257</v>
      </c>
      <c r="B704" s="84" t="s">
        <v>256</v>
      </c>
      <c r="C704" s="205">
        <v>6</v>
      </c>
      <c r="D704" s="138" t="s">
        <v>917</v>
      </c>
      <c r="E704" s="135">
        <v>0</v>
      </c>
      <c r="F704" s="211" t="s">
        <v>291</v>
      </c>
      <c r="G704" s="4">
        <v>4</v>
      </c>
      <c r="H704" s="23">
        <f t="shared" si="44"/>
        <v>22</v>
      </c>
      <c r="I704" s="22" t="s">
        <v>918</v>
      </c>
      <c r="J704" s="85"/>
      <c r="K704" s="76"/>
    </row>
    <row r="705" spans="1:11">
      <c r="A705" s="77" t="s">
        <v>257</v>
      </c>
      <c r="B705" s="84" t="s">
        <v>256</v>
      </c>
      <c r="C705" s="206">
        <v>7</v>
      </c>
      <c r="D705" s="138" t="s">
        <v>872</v>
      </c>
      <c r="E705" s="135">
        <v>4</v>
      </c>
      <c r="F705" s="216" t="s">
        <v>312</v>
      </c>
      <c r="G705" s="4">
        <v>8</v>
      </c>
      <c r="H705" s="23">
        <f t="shared" si="44"/>
        <v>30</v>
      </c>
      <c r="I705" s="22" t="s">
        <v>919</v>
      </c>
      <c r="J705" s="85"/>
      <c r="K705" s="76"/>
    </row>
    <row r="706" spans="1:11">
      <c r="A706" s="77" t="s">
        <v>257</v>
      </c>
      <c r="B706" s="84" t="s">
        <v>256</v>
      </c>
      <c r="C706" s="205">
        <v>8</v>
      </c>
      <c r="D706" s="138" t="s">
        <v>908</v>
      </c>
      <c r="E706" s="135">
        <v>0</v>
      </c>
      <c r="F706" s="216" t="s">
        <v>307</v>
      </c>
      <c r="G706" s="4">
        <v>15</v>
      </c>
      <c r="H706" s="23">
        <f t="shared" si="44"/>
        <v>45</v>
      </c>
      <c r="I706" s="22" t="s">
        <v>920</v>
      </c>
      <c r="J706" s="85"/>
      <c r="K706" s="76"/>
    </row>
    <row r="707" spans="1:11">
      <c r="A707" s="77" t="s">
        <v>257</v>
      </c>
      <c r="B707" s="84" t="s">
        <v>256</v>
      </c>
      <c r="C707" s="206">
        <v>9</v>
      </c>
      <c r="D707" s="138" t="s">
        <v>910</v>
      </c>
      <c r="E707" s="135">
        <v>0</v>
      </c>
      <c r="F707" s="216" t="s">
        <v>307</v>
      </c>
      <c r="G707" s="4">
        <v>15</v>
      </c>
      <c r="H707" s="23">
        <f t="shared" si="44"/>
        <v>60</v>
      </c>
      <c r="I707" s="22" t="s">
        <v>920</v>
      </c>
      <c r="J707" s="85"/>
      <c r="K707" s="76"/>
    </row>
    <row r="708" spans="1:11">
      <c r="A708" s="77" t="s">
        <v>257</v>
      </c>
      <c r="B708" s="84" t="s">
        <v>256</v>
      </c>
      <c r="C708" s="205">
        <v>10</v>
      </c>
      <c r="D708" s="138" t="s">
        <v>873</v>
      </c>
      <c r="E708" s="135">
        <v>4</v>
      </c>
      <c r="F708" s="216" t="s">
        <v>312</v>
      </c>
      <c r="G708" s="4">
        <v>8</v>
      </c>
      <c r="H708" s="23">
        <f t="shared" si="44"/>
        <v>68</v>
      </c>
      <c r="I708" s="22" t="s">
        <v>919</v>
      </c>
      <c r="J708" s="85"/>
      <c r="K708" s="76"/>
    </row>
    <row r="709" spans="1:11">
      <c r="A709" s="77" t="s">
        <v>257</v>
      </c>
      <c r="B709" s="84" t="s">
        <v>256</v>
      </c>
      <c r="C709" s="206">
        <v>11</v>
      </c>
      <c r="D709" s="138" t="s">
        <v>909</v>
      </c>
      <c r="E709" s="135">
        <v>0</v>
      </c>
      <c r="F709" s="216" t="s">
        <v>307</v>
      </c>
      <c r="G709" s="4">
        <v>15</v>
      </c>
      <c r="H709" s="23">
        <f t="shared" si="44"/>
        <v>83</v>
      </c>
      <c r="I709" s="22" t="s">
        <v>920</v>
      </c>
      <c r="J709" s="85"/>
      <c r="K709" s="76"/>
    </row>
    <row r="710" spans="1:11">
      <c r="A710" s="77" t="s">
        <v>257</v>
      </c>
      <c r="B710" s="84" t="s">
        <v>256</v>
      </c>
      <c r="C710" s="205">
        <v>12</v>
      </c>
      <c r="D710" s="138" t="s">
        <v>911</v>
      </c>
      <c r="E710" s="135">
        <v>0</v>
      </c>
      <c r="F710" s="216" t="s">
        <v>307</v>
      </c>
      <c r="G710" s="4">
        <v>15</v>
      </c>
      <c r="H710" s="23">
        <f t="shared" si="44"/>
        <v>98</v>
      </c>
      <c r="I710" s="22" t="s">
        <v>920</v>
      </c>
      <c r="J710" s="85"/>
      <c r="K710" s="76"/>
    </row>
    <row r="711" spans="1:11">
      <c r="A711" s="77" t="s">
        <v>257</v>
      </c>
      <c r="B711" s="84" t="s">
        <v>256</v>
      </c>
      <c r="C711" s="206">
        <v>13</v>
      </c>
      <c r="D711" s="138" t="s">
        <v>320</v>
      </c>
      <c r="E711" s="135">
        <v>0</v>
      </c>
      <c r="F711" s="211" t="s">
        <v>291</v>
      </c>
      <c r="G711" s="4">
        <v>11</v>
      </c>
      <c r="H711" s="23">
        <f t="shared" si="44"/>
        <v>109</v>
      </c>
      <c r="I711" s="22" t="s">
        <v>321</v>
      </c>
      <c r="J711" s="85"/>
      <c r="K711" s="76"/>
    </row>
    <row r="712" spans="1:11">
      <c r="A712" s="77" t="s">
        <v>257</v>
      </c>
      <c r="B712" s="80" t="s">
        <v>256</v>
      </c>
      <c r="C712" s="149">
        <v>14</v>
      </c>
      <c r="D712" s="139" t="s">
        <v>298</v>
      </c>
      <c r="E712" s="136">
        <v>0</v>
      </c>
      <c r="F712" s="215" t="s">
        <v>291</v>
      </c>
      <c r="G712" s="134">
        <v>1</v>
      </c>
      <c r="H712" s="74">
        <f t="shared" si="44"/>
        <v>110</v>
      </c>
      <c r="I712" s="36" t="s">
        <v>299</v>
      </c>
      <c r="J712" s="74"/>
      <c r="K712" s="74"/>
    </row>
    <row r="713" spans="1:11">
      <c r="A713" s="77" t="s">
        <v>921</v>
      </c>
      <c r="B713" s="79" t="s">
        <v>922</v>
      </c>
      <c r="C713" s="76">
        <v>1</v>
      </c>
      <c r="D713" s="138" t="s">
        <v>290</v>
      </c>
      <c r="E713" s="137">
        <v>0</v>
      </c>
      <c r="F713" s="210" t="s">
        <v>291</v>
      </c>
      <c r="G713" s="133">
        <v>2</v>
      </c>
      <c r="H713" s="76">
        <v>2</v>
      </c>
      <c r="I713" s="75" t="s">
        <v>923</v>
      </c>
      <c r="J713" s="76"/>
      <c r="K713" s="76"/>
    </row>
    <row r="714" spans="1:11">
      <c r="A714" s="188" t="s">
        <v>260</v>
      </c>
      <c r="B714" s="199" t="s">
        <v>924</v>
      </c>
      <c r="C714" s="191">
        <v>2</v>
      </c>
      <c r="D714" s="184" t="s">
        <v>302</v>
      </c>
      <c r="E714" s="196">
        <v>0</v>
      </c>
      <c r="F714" s="214" t="s">
        <v>291</v>
      </c>
      <c r="G714" s="198">
        <v>3</v>
      </c>
      <c r="H714" s="186">
        <f t="shared" ref="H714:H730" si="45">H713+G714</f>
        <v>5</v>
      </c>
      <c r="I714" s="187" t="s">
        <v>503</v>
      </c>
      <c r="J714" s="85"/>
      <c r="K714" s="76"/>
    </row>
    <row r="715" spans="1:11">
      <c r="A715" s="77" t="s">
        <v>260</v>
      </c>
      <c r="B715" s="84" t="s">
        <v>924</v>
      </c>
      <c r="C715" s="206">
        <v>3</v>
      </c>
      <c r="D715" s="138" t="s">
        <v>925</v>
      </c>
      <c r="E715" s="135">
        <v>0</v>
      </c>
      <c r="F715" s="211" t="s">
        <v>291</v>
      </c>
      <c r="G715" s="4">
        <v>4</v>
      </c>
      <c r="H715" s="23">
        <f t="shared" si="45"/>
        <v>9</v>
      </c>
      <c r="I715" s="22" t="s">
        <v>926</v>
      </c>
      <c r="J715" s="85"/>
      <c r="K715" s="76"/>
    </row>
    <row r="716" spans="1:11">
      <c r="A716" s="77" t="s">
        <v>260</v>
      </c>
      <c r="B716" s="84" t="s">
        <v>924</v>
      </c>
      <c r="C716" s="205">
        <v>4</v>
      </c>
      <c r="D716" s="138" t="s">
        <v>927</v>
      </c>
      <c r="E716" s="135">
        <v>0</v>
      </c>
      <c r="F716" s="216" t="s">
        <v>307</v>
      </c>
      <c r="G716" s="4">
        <v>6</v>
      </c>
      <c r="H716" s="23">
        <f t="shared" si="45"/>
        <v>15</v>
      </c>
      <c r="I716" s="22" t="s">
        <v>380</v>
      </c>
      <c r="J716" s="85"/>
      <c r="K716" s="76"/>
    </row>
    <row r="717" spans="1:11">
      <c r="A717" s="77" t="s">
        <v>260</v>
      </c>
      <c r="B717" s="84" t="s">
        <v>924</v>
      </c>
      <c r="C717" s="206">
        <v>5</v>
      </c>
      <c r="D717" s="138" t="s">
        <v>928</v>
      </c>
      <c r="E717" s="135">
        <v>0</v>
      </c>
      <c r="F717" s="211" t="s">
        <v>291</v>
      </c>
      <c r="G717" s="4">
        <v>2</v>
      </c>
      <c r="H717" s="23">
        <f t="shared" si="45"/>
        <v>17</v>
      </c>
      <c r="I717" s="22" t="s">
        <v>929</v>
      </c>
      <c r="J717" s="85"/>
      <c r="K717" s="76"/>
    </row>
    <row r="718" spans="1:11">
      <c r="A718" s="77" t="s">
        <v>260</v>
      </c>
      <c r="B718" s="84" t="s">
        <v>924</v>
      </c>
      <c r="C718" s="205">
        <v>6</v>
      </c>
      <c r="D718" s="138" t="s">
        <v>306</v>
      </c>
      <c r="E718" s="135">
        <v>0</v>
      </c>
      <c r="F718" s="216" t="s">
        <v>307</v>
      </c>
      <c r="G718" s="4">
        <v>6</v>
      </c>
      <c r="H718" s="23">
        <f t="shared" si="45"/>
        <v>23</v>
      </c>
      <c r="I718" s="22" t="s">
        <v>380</v>
      </c>
      <c r="J718" s="85"/>
      <c r="K718" s="76"/>
    </row>
    <row r="719" spans="1:11">
      <c r="A719" s="77" t="s">
        <v>260</v>
      </c>
      <c r="B719" s="84" t="s">
        <v>924</v>
      </c>
      <c r="C719" s="206">
        <v>7</v>
      </c>
      <c r="D719" s="138" t="s">
        <v>930</v>
      </c>
      <c r="E719" s="135">
        <v>0</v>
      </c>
      <c r="F719" s="211" t="s">
        <v>291</v>
      </c>
      <c r="G719" s="4">
        <v>14</v>
      </c>
      <c r="H719" s="23">
        <f t="shared" si="45"/>
        <v>37</v>
      </c>
      <c r="I719" s="22" t="s">
        <v>931</v>
      </c>
      <c r="J719" s="85"/>
      <c r="K719" s="76"/>
    </row>
    <row r="720" spans="1:11">
      <c r="A720" s="77" t="s">
        <v>260</v>
      </c>
      <c r="B720" s="84" t="s">
        <v>924</v>
      </c>
      <c r="C720" s="205">
        <v>8</v>
      </c>
      <c r="D720" s="138" t="s">
        <v>932</v>
      </c>
      <c r="E720" s="135">
        <v>0</v>
      </c>
      <c r="F720" s="211" t="s">
        <v>291</v>
      </c>
      <c r="G720" s="4">
        <v>3</v>
      </c>
      <c r="H720" s="23">
        <f t="shared" si="45"/>
        <v>40</v>
      </c>
      <c r="I720" s="22" t="s">
        <v>933</v>
      </c>
      <c r="J720" s="85"/>
      <c r="K720" s="76"/>
    </row>
    <row r="721" spans="1:11">
      <c r="A721" s="77" t="s">
        <v>260</v>
      </c>
      <c r="B721" s="84" t="s">
        <v>924</v>
      </c>
      <c r="C721" s="206">
        <v>9</v>
      </c>
      <c r="D721" s="138" t="s">
        <v>934</v>
      </c>
      <c r="E721" s="135">
        <v>0</v>
      </c>
      <c r="F721" s="211" t="s">
        <v>291</v>
      </c>
      <c r="G721" s="4">
        <v>2</v>
      </c>
      <c r="H721" s="23">
        <f t="shared" si="45"/>
        <v>42</v>
      </c>
      <c r="I721" s="22" t="s">
        <v>935</v>
      </c>
      <c r="J721" s="85"/>
      <c r="K721" s="76"/>
    </row>
    <row r="722" spans="1:11" ht="22.5">
      <c r="A722" s="77" t="s">
        <v>260</v>
      </c>
      <c r="B722" s="84" t="s">
        <v>924</v>
      </c>
      <c r="C722" s="205">
        <v>10</v>
      </c>
      <c r="D722" s="138" t="s">
        <v>936</v>
      </c>
      <c r="E722" s="135">
        <v>0</v>
      </c>
      <c r="F722" s="216" t="s">
        <v>307</v>
      </c>
      <c r="G722" s="4">
        <v>6</v>
      </c>
      <c r="H722" s="23">
        <f t="shared" si="45"/>
        <v>48</v>
      </c>
      <c r="I722" s="22" t="s">
        <v>937</v>
      </c>
      <c r="J722" s="85"/>
      <c r="K722" s="76"/>
    </row>
    <row r="723" spans="1:11">
      <c r="A723" s="77" t="s">
        <v>260</v>
      </c>
      <c r="B723" s="84" t="s">
        <v>924</v>
      </c>
      <c r="C723" s="206">
        <v>11</v>
      </c>
      <c r="D723" s="138" t="s">
        <v>903</v>
      </c>
      <c r="E723" s="135">
        <v>0</v>
      </c>
      <c r="F723" s="211" t="s">
        <v>291</v>
      </c>
      <c r="G723" s="4">
        <v>8</v>
      </c>
      <c r="H723" s="23">
        <f t="shared" si="45"/>
        <v>56</v>
      </c>
      <c r="I723" s="22" t="s">
        <v>310</v>
      </c>
      <c r="J723" s="85"/>
      <c r="K723" s="76"/>
    </row>
    <row r="724" spans="1:11">
      <c r="A724" s="77" t="s">
        <v>260</v>
      </c>
      <c r="B724" s="84" t="s">
        <v>924</v>
      </c>
      <c r="C724" s="205">
        <v>12</v>
      </c>
      <c r="D724" s="138" t="s">
        <v>938</v>
      </c>
      <c r="E724" s="135">
        <v>0</v>
      </c>
      <c r="F724" s="216" t="s">
        <v>307</v>
      </c>
      <c r="G724" s="4">
        <v>6</v>
      </c>
      <c r="H724" s="23">
        <f t="shared" si="45"/>
        <v>62</v>
      </c>
      <c r="I724" s="22" t="s">
        <v>939</v>
      </c>
      <c r="J724" s="85"/>
      <c r="K724" s="76"/>
    </row>
    <row r="725" spans="1:11">
      <c r="A725" s="77" t="s">
        <v>260</v>
      </c>
      <c r="B725" s="84" t="s">
        <v>924</v>
      </c>
      <c r="C725" s="206">
        <v>13</v>
      </c>
      <c r="D725" s="138" t="s">
        <v>940</v>
      </c>
      <c r="E725" s="135">
        <v>0</v>
      </c>
      <c r="F725" s="211" t="s">
        <v>291</v>
      </c>
      <c r="G725" s="4">
        <v>10</v>
      </c>
      <c r="H725" s="23">
        <f t="shared" si="45"/>
        <v>72</v>
      </c>
      <c r="I725" s="22" t="s">
        <v>941</v>
      </c>
      <c r="J725" s="85"/>
      <c r="K725" s="76"/>
    </row>
    <row r="726" spans="1:11">
      <c r="A726" s="77" t="s">
        <v>260</v>
      </c>
      <c r="B726" s="84" t="s">
        <v>924</v>
      </c>
      <c r="C726" s="205">
        <v>14</v>
      </c>
      <c r="D726" s="138" t="s">
        <v>331</v>
      </c>
      <c r="E726" s="135">
        <v>0</v>
      </c>
      <c r="F726" s="211" t="s">
        <v>291</v>
      </c>
      <c r="G726" s="4">
        <v>1</v>
      </c>
      <c r="H726" s="23">
        <f t="shared" si="45"/>
        <v>73</v>
      </c>
      <c r="I726" s="22" t="s">
        <v>942</v>
      </c>
      <c r="J726" s="85"/>
      <c r="K726" s="76"/>
    </row>
    <row r="727" spans="1:11">
      <c r="A727" s="77" t="s">
        <v>260</v>
      </c>
      <c r="B727" s="84" t="s">
        <v>924</v>
      </c>
      <c r="C727" s="206">
        <v>15</v>
      </c>
      <c r="D727" s="138" t="s">
        <v>526</v>
      </c>
      <c r="E727" s="135">
        <v>0</v>
      </c>
      <c r="F727" s="211" t="s">
        <v>291</v>
      </c>
      <c r="G727" s="4">
        <v>1</v>
      </c>
      <c r="H727" s="23">
        <f t="shared" si="45"/>
        <v>74</v>
      </c>
      <c r="I727" s="22" t="s">
        <v>943</v>
      </c>
      <c r="J727" s="85"/>
      <c r="K727" s="76"/>
    </row>
    <row r="728" spans="1:11">
      <c r="A728" s="77" t="s">
        <v>260</v>
      </c>
      <c r="B728" s="84" t="s">
        <v>924</v>
      </c>
      <c r="C728" s="205">
        <v>16</v>
      </c>
      <c r="D728" s="138" t="s">
        <v>944</v>
      </c>
      <c r="E728" s="135">
        <v>0</v>
      </c>
      <c r="F728" s="211" t="s">
        <v>291</v>
      </c>
      <c r="G728" s="4">
        <v>50</v>
      </c>
      <c r="H728" s="23">
        <f t="shared" si="45"/>
        <v>124</v>
      </c>
      <c r="I728" s="22" t="s">
        <v>380</v>
      </c>
      <c r="J728" s="85"/>
      <c r="K728" s="76"/>
    </row>
    <row r="729" spans="1:11">
      <c r="A729" s="77" t="s">
        <v>260</v>
      </c>
      <c r="B729" s="84" t="s">
        <v>924</v>
      </c>
      <c r="C729" s="206">
        <v>17</v>
      </c>
      <c r="D729" s="138" t="s">
        <v>320</v>
      </c>
      <c r="E729" s="135">
        <v>0</v>
      </c>
      <c r="F729" s="211" t="s">
        <v>291</v>
      </c>
      <c r="G729" s="4">
        <v>255</v>
      </c>
      <c r="H729" s="23">
        <f t="shared" si="45"/>
        <v>379</v>
      </c>
      <c r="I729" s="22" t="s">
        <v>321</v>
      </c>
      <c r="J729" s="85"/>
      <c r="K729" s="76"/>
    </row>
    <row r="730" spans="1:11">
      <c r="A730" s="77" t="s">
        <v>260</v>
      </c>
      <c r="B730" s="80" t="s">
        <v>924</v>
      </c>
      <c r="C730" s="149">
        <v>18</v>
      </c>
      <c r="D730" s="139" t="s">
        <v>298</v>
      </c>
      <c r="E730" s="136">
        <v>0</v>
      </c>
      <c r="F730" s="215" t="s">
        <v>291</v>
      </c>
      <c r="G730" s="134">
        <v>1</v>
      </c>
      <c r="H730" s="74">
        <f t="shared" si="45"/>
        <v>380</v>
      </c>
      <c r="I730" s="36" t="s">
        <v>299</v>
      </c>
      <c r="J730" s="74"/>
      <c r="K730" s="74"/>
    </row>
    <row r="731" spans="1:11">
      <c r="A731" s="77" t="s">
        <v>945</v>
      </c>
      <c r="B731" s="79" t="s">
        <v>946</v>
      </c>
      <c r="C731" s="76">
        <v>1</v>
      </c>
      <c r="D731" s="138" t="s">
        <v>290</v>
      </c>
      <c r="E731" s="137">
        <v>0</v>
      </c>
      <c r="F731" s="210" t="s">
        <v>291</v>
      </c>
      <c r="G731" s="133">
        <v>2</v>
      </c>
      <c r="H731" s="76">
        <v>2</v>
      </c>
      <c r="I731" s="75" t="s">
        <v>923</v>
      </c>
      <c r="J731" s="76"/>
      <c r="K731" s="76"/>
    </row>
    <row r="732" spans="1:11">
      <c r="A732" s="188" t="s">
        <v>262</v>
      </c>
      <c r="B732" s="199" t="s">
        <v>947</v>
      </c>
      <c r="C732" s="191">
        <v>2</v>
      </c>
      <c r="D732" s="184" t="s">
        <v>302</v>
      </c>
      <c r="E732" s="196">
        <v>0</v>
      </c>
      <c r="F732" s="214" t="s">
        <v>291</v>
      </c>
      <c r="G732" s="198">
        <v>3</v>
      </c>
      <c r="H732" s="186">
        <f t="shared" ref="H732:H767" si="46">H731+G732</f>
        <v>5</v>
      </c>
      <c r="I732" s="187" t="s">
        <v>503</v>
      </c>
      <c r="J732" s="85"/>
      <c r="K732" s="76"/>
    </row>
    <row r="733" spans="1:11">
      <c r="A733" s="77" t="s">
        <v>262</v>
      </c>
      <c r="B733" s="84" t="s">
        <v>947</v>
      </c>
      <c r="C733" s="206">
        <v>3</v>
      </c>
      <c r="D733" s="138" t="s">
        <v>925</v>
      </c>
      <c r="E733" s="135">
        <v>0</v>
      </c>
      <c r="F733" s="211" t="s">
        <v>291</v>
      </c>
      <c r="G733" s="4">
        <v>4</v>
      </c>
      <c r="H733" s="23">
        <f t="shared" si="46"/>
        <v>9</v>
      </c>
      <c r="I733" s="22" t="s">
        <v>926</v>
      </c>
      <c r="J733" s="85"/>
      <c r="K733" s="76"/>
    </row>
    <row r="734" spans="1:11">
      <c r="A734" s="77" t="s">
        <v>262</v>
      </c>
      <c r="B734" s="84" t="s">
        <v>947</v>
      </c>
      <c r="C734" s="205">
        <v>4</v>
      </c>
      <c r="D734" s="138" t="s">
        <v>927</v>
      </c>
      <c r="E734" s="135">
        <v>0</v>
      </c>
      <c r="F734" s="216" t="s">
        <v>307</v>
      </c>
      <c r="G734" s="4">
        <v>6</v>
      </c>
      <c r="H734" s="23">
        <f t="shared" si="46"/>
        <v>15</v>
      </c>
      <c r="I734" s="22" t="s">
        <v>380</v>
      </c>
      <c r="J734" s="85"/>
      <c r="K734" s="76"/>
    </row>
    <row r="735" spans="1:11">
      <c r="A735" s="77" t="s">
        <v>262</v>
      </c>
      <c r="B735" s="84" t="s">
        <v>947</v>
      </c>
      <c r="C735" s="206">
        <v>5</v>
      </c>
      <c r="D735" s="138" t="s">
        <v>928</v>
      </c>
      <c r="E735" s="135">
        <v>0</v>
      </c>
      <c r="F735" s="211" t="s">
        <v>291</v>
      </c>
      <c r="G735" s="4">
        <v>2</v>
      </c>
      <c r="H735" s="23">
        <f t="shared" si="46"/>
        <v>17</v>
      </c>
      <c r="I735" s="22" t="s">
        <v>929</v>
      </c>
      <c r="J735" s="85"/>
      <c r="K735" s="76"/>
    </row>
    <row r="736" spans="1:11">
      <c r="A736" s="77" t="s">
        <v>262</v>
      </c>
      <c r="B736" s="84" t="s">
        <v>947</v>
      </c>
      <c r="C736" s="205">
        <v>6</v>
      </c>
      <c r="D736" s="138" t="s">
        <v>306</v>
      </c>
      <c r="E736" s="135">
        <v>0</v>
      </c>
      <c r="F736" s="216" t="s">
        <v>307</v>
      </c>
      <c r="G736" s="4">
        <v>6</v>
      </c>
      <c r="H736" s="23">
        <f t="shared" si="46"/>
        <v>23</v>
      </c>
      <c r="I736" s="22" t="s">
        <v>380</v>
      </c>
      <c r="J736" s="85"/>
      <c r="K736" s="76"/>
    </row>
    <row r="737" spans="1:11">
      <c r="A737" s="77" t="s">
        <v>262</v>
      </c>
      <c r="B737" s="84" t="s">
        <v>947</v>
      </c>
      <c r="C737" s="206">
        <v>7</v>
      </c>
      <c r="D737" s="138" t="s">
        <v>930</v>
      </c>
      <c r="E737" s="135">
        <v>0</v>
      </c>
      <c r="F737" s="211" t="s">
        <v>291</v>
      </c>
      <c r="G737" s="4">
        <v>14</v>
      </c>
      <c r="H737" s="23">
        <f t="shared" si="46"/>
        <v>37</v>
      </c>
      <c r="I737" s="22" t="s">
        <v>931</v>
      </c>
      <c r="J737" s="85"/>
      <c r="K737" s="76"/>
    </row>
    <row r="738" spans="1:11">
      <c r="A738" s="77" t="s">
        <v>262</v>
      </c>
      <c r="B738" s="84" t="s">
        <v>947</v>
      </c>
      <c r="C738" s="205">
        <v>8</v>
      </c>
      <c r="D738" s="138" t="s">
        <v>932</v>
      </c>
      <c r="E738" s="135">
        <v>0</v>
      </c>
      <c r="F738" s="211" t="s">
        <v>291</v>
      </c>
      <c r="G738" s="4">
        <v>3</v>
      </c>
      <c r="H738" s="23">
        <f t="shared" si="46"/>
        <v>40</v>
      </c>
      <c r="I738" s="22" t="s">
        <v>948</v>
      </c>
      <c r="J738" s="85"/>
      <c r="K738" s="76"/>
    </row>
    <row r="739" spans="1:11">
      <c r="A739" s="77" t="s">
        <v>262</v>
      </c>
      <c r="B739" s="84" t="s">
        <v>947</v>
      </c>
      <c r="C739" s="206">
        <v>9</v>
      </c>
      <c r="D739" s="138" t="s">
        <v>934</v>
      </c>
      <c r="E739" s="135">
        <v>0</v>
      </c>
      <c r="F739" s="211" t="s">
        <v>291</v>
      </c>
      <c r="G739" s="4">
        <v>2</v>
      </c>
      <c r="H739" s="23">
        <f t="shared" si="46"/>
        <v>42</v>
      </c>
      <c r="I739" s="22" t="s">
        <v>935</v>
      </c>
      <c r="J739" s="85"/>
      <c r="K739" s="76"/>
    </row>
    <row r="740" spans="1:11" ht="22.5">
      <c r="A740" s="77" t="s">
        <v>262</v>
      </c>
      <c r="B740" s="84" t="s">
        <v>947</v>
      </c>
      <c r="C740" s="205">
        <v>10</v>
      </c>
      <c r="D740" s="138" t="s">
        <v>936</v>
      </c>
      <c r="E740" s="135">
        <v>0</v>
      </c>
      <c r="F740" s="216" t="s">
        <v>307</v>
      </c>
      <c r="G740" s="4">
        <v>6</v>
      </c>
      <c r="H740" s="23">
        <f t="shared" si="46"/>
        <v>48</v>
      </c>
      <c r="I740" s="22" t="s">
        <v>937</v>
      </c>
      <c r="J740" s="85"/>
      <c r="K740" s="76"/>
    </row>
    <row r="741" spans="1:11">
      <c r="A741" s="77" t="s">
        <v>262</v>
      </c>
      <c r="B741" s="84" t="s">
        <v>947</v>
      </c>
      <c r="C741" s="206">
        <v>11</v>
      </c>
      <c r="D741" s="138" t="s">
        <v>903</v>
      </c>
      <c r="E741" s="135">
        <v>0</v>
      </c>
      <c r="F741" s="211" t="s">
        <v>291</v>
      </c>
      <c r="G741" s="4">
        <v>8</v>
      </c>
      <c r="H741" s="23">
        <f t="shared" si="46"/>
        <v>56</v>
      </c>
      <c r="I741" s="22" t="s">
        <v>310</v>
      </c>
      <c r="J741" s="85"/>
      <c r="K741" s="76"/>
    </row>
    <row r="742" spans="1:11">
      <c r="A742" s="77" t="s">
        <v>262</v>
      </c>
      <c r="B742" s="84" t="s">
        <v>947</v>
      </c>
      <c r="C742" s="205">
        <v>12</v>
      </c>
      <c r="D742" s="138" t="s">
        <v>304</v>
      </c>
      <c r="E742" s="135">
        <v>0</v>
      </c>
      <c r="F742" s="211" t="s">
        <v>291</v>
      </c>
      <c r="G742" s="4">
        <v>12</v>
      </c>
      <c r="H742" s="23">
        <f t="shared" si="46"/>
        <v>68</v>
      </c>
      <c r="I742" s="22" t="s">
        <v>380</v>
      </c>
      <c r="J742" s="85"/>
      <c r="K742" s="76"/>
    </row>
    <row r="743" spans="1:11">
      <c r="A743" s="77" t="s">
        <v>262</v>
      </c>
      <c r="B743" s="84" t="s">
        <v>947</v>
      </c>
      <c r="C743" s="206">
        <v>13</v>
      </c>
      <c r="D743" s="138" t="s">
        <v>949</v>
      </c>
      <c r="E743" s="135">
        <v>0</v>
      </c>
      <c r="F743" s="211" t="s">
        <v>291</v>
      </c>
      <c r="G743" s="4">
        <v>1</v>
      </c>
      <c r="H743" s="23">
        <f t="shared" si="46"/>
        <v>69</v>
      </c>
      <c r="I743" s="22" t="s">
        <v>950</v>
      </c>
      <c r="J743" s="85"/>
      <c r="K743" s="76"/>
    </row>
    <row r="744" spans="1:11">
      <c r="A744" s="77" t="s">
        <v>262</v>
      </c>
      <c r="B744" s="84" t="s">
        <v>947</v>
      </c>
      <c r="C744" s="205">
        <v>14</v>
      </c>
      <c r="D744" s="138" t="s">
        <v>951</v>
      </c>
      <c r="E744" s="135">
        <v>0</v>
      </c>
      <c r="F744" s="211" t="s">
        <v>291</v>
      </c>
      <c r="G744" s="4">
        <v>1</v>
      </c>
      <c r="H744" s="23">
        <f t="shared" si="46"/>
        <v>70</v>
      </c>
      <c r="I744" s="22" t="s">
        <v>952</v>
      </c>
      <c r="J744" s="85"/>
      <c r="K744" s="76"/>
    </row>
    <row r="745" spans="1:11">
      <c r="A745" s="77" t="s">
        <v>262</v>
      </c>
      <c r="B745" s="84" t="s">
        <v>947</v>
      </c>
      <c r="C745" s="206">
        <v>15</v>
      </c>
      <c r="D745" s="138" t="s">
        <v>532</v>
      </c>
      <c r="E745" s="135">
        <v>0</v>
      </c>
      <c r="F745" s="211" t="s">
        <v>291</v>
      </c>
      <c r="G745" s="4">
        <v>8</v>
      </c>
      <c r="H745" s="23">
        <f t="shared" si="46"/>
        <v>78</v>
      </c>
      <c r="I745" s="22" t="s">
        <v>310</v>
      </c>
      <c r="J745" s="85"/>
      <c r="K745" s="76"/>
    </row>
    <row r="746" spans="1:11">
      <c r="A746" s="77" t="s">
        <v>262</v>
      </c>
      <c r="B746" s="84" t="s">
        <v>947</v>
      </c>
      <c r="C746" s="205">
        <v>16</v>
      </c>
      <c r="D746" s="138" t="s">
        <v>953</v>
      </c>
      <c r="E746" s="135">
        <v>0</v>
      </c>
      <c r="F746" s="211" t="s">
        <v>291</v>
      </c>
      <c r="G746" s="4">
        <v>10</v>
      </c>
      <c r="H746" s="23">
        <f t="shared" si="46"/>
        <v>88</v>
      </c>
      <c r="I746" s="22" t="s">
        <v>941</v>
      </c>
      <c r="J746" s="85"/>
      <c r="K746" s="76"/>
    </row>
    <row r="747" spans="1:11">
      <c r="A747" s="77" t="s">
        <v>262</v>
      </c>
      <c r="B747" s="84" t="s">
        <v>947</v>
      </c>
      <c r="C747" s="206">
        <v>17</v>
      </c>
      <c r="D747" s="138" t="s">
        <v>954</v>
      </c>
      <c r="E747" s="135">
        <v>3</v>
      </c>
      <c r="F747" s="216" t="s">
        <v>312</v>
      </c>
      <c r="G747" s="4">
        <v>5</v>
      </c>
      <c r="H747" s="23">
        <f t="shared" si="46"/>
        <v>93</v>
      </c>
      <c r="I747" s="22" t="s">
        <v>955</v>
      </c>
      <c r="J747" s="85"/>
      <c r="K747" s="76"/>
    </row>
    <row r="748" spans="1:11">
      <c r="A748" s="77" t="s">
        <v>262</v>
      </c>
      <c r="B748" s="84" t="s">
        <v>947</v>
      </c>
      <c r="C748" s="205">
        <v>18</v>
      </c>
      <c r="D748" s="138" t="s">
        <v>956</v>
      </c>
      <c r="E748" s="135">
        <v>0</v>
      </c>
      <c r="F748" s="216" t="s">
        <v>307</v>
      </c>
      <c r="G748" s="4">
        <v>7</v>
      </c>
      <c r="H748" s="23">
        <f t="shared" si="46"/>
        <v>100</v>
      </c>
      <c r="I748" s="22" t="s">
        <v>380</v>
      </c>
      <c r="J748" s="85"/>
      <c r="K748" s="76"/>
    </row>
    <row r="749" spans="1:11">
      <c r="A749" s="77" t="s">
        <v>262</v>
      </c>
      <c r="B749" s="84" t="s">
        <v>947</v>
      </c>
      <c r="C749" s="206">
        <v>19</v>
      </c>
      <c r="D749" s="138" t="s">
        <v>957</v>
      </c>
      <c r="E749" s="135">
        <v>4</v>
      </c>
      <c r="F749" s="216" t="s">
        <v>312</v>
      </c>
      <c r="G749" s="4">
        <v>5</v>
      </c>
      <c r="H749" s="23">
        <f t="shared" si="46"/>
        <v>105</v>
      </c>
      <c r="I749" s="22" t="s">
        <v>955</v>
      </c>
      <c r="J749" s="85"/>
      <c r="K749" s="76"/>
    </row>
    <row r="750" spans="1:11">
      <c r="A750" s="77" t="s">
        <v>262</v>
      </c>
      <c r="B750" s="84" t="s">
        <v>947</v>
      </c>
      <c r="C750" s="205">
        <v>20</v>
      </c>
      <c r="D750" s="138" t="s">
        <v>794</v>
      </c>
      <c r="E750" s="135">
        <v>0</v>
      </c>
      <c r="F750" s="216" t="s">
        <v>307</v>
      </c>
      <c r="G750" s="4">
        <v>7</v>
      </c>
      <c r="H750" s="23">
        <f t="shared" si="46"/>
        <v>112</v>
      </c>
      <c r="I750" s="22" t="s">
        <v>380</v>
      </c>
      <c r="J750" s="85"/>
      <c r="K750" s="76"/>
    </row>
    <row r="751" spans="1:11">
      <c r="A751" s="77" t="s">
        <v>262</v>
      </c>
      <c r="B751" s="84" t="s">
        <v>947</v>
      </c>
      <c r="C751" s="206">
        <v>21</v>
      </c>
      <c r="D751" s="138" t="s">
        <v>958</v>
      </c>
      <c r="E751" s="135">
        <v>3</v>
      </c>
      <c r="F751" s="216" t="s">
        <v>312</v>
      </c>
      <c r="G751" s="4">
        <v>5</v>
      </c>
      <c r="H751" s="23">
        <f t="shared" si="46"/>
        <v>117</v>
      </c>
      <c r="I751" s="22" t="s">
        <v>955</v>
      </c>
      <c r="J751" s="85"/>
      <c r="K751" s="76"/>
    </row>
    <row r="752" spans="1:11">
      <c r="A752" s="77" t="s">
        <v>262</v>
      </c>
      <c r="B752" s="84" t="s">
        <v>947</v>
      </c>
      <c r="C752" s="205">
        <v>22</v>
      </c>
      <c r="D752" s="138" t="s">
        <v>795</v>
      </c>
      <c r="E752" s="135">
        <v>0</v>
      </c>
      <c r="F752" s="216" t="s">
        <v>307</v>
      </c>
      <c r="G752" s="4">
        <v>7</v>
      </c>
      <c r="H752" s="23">
        <f t="shared" si="46"/>
        <v>124</v>
      </c>
      <c r="I752" s="22" t="s">
        <v>380</v>
      </c>
      <c r="J752" s="85"/>
      <c r="K752" s="76"/>
    </row>
    <row r="753" spans="1:11">
      <c r="A753" s="77" t="s">
        <v>262</v>
      </c>
      <c r="B753" s="84" t="s">
        <v>947</v>
      </c>
      <c r="C753" s="206">
        <v>23</v>
      </c>
      <c r="D753" s="138" t="s">
        <v>959</v>
      </c>
      <c r="E753" s="135">
        <v>3</v>
      </c>
      <c r="F753" s="216" t="s">
        <v>312</v>
      </c>
      <c r="G753" s="4">
        <v>5</v>
      </c>
      <c r="H753" s="23">
        <f t="shared" si="46"/>
        <v>129</v>
      </c>
      <c r="I753" s="22" t="s">
        <v>955</v>
      </c>
      <c r="J753" s="85"/>
      <c r="K753" s="76"/>
    </row>
    <row r="754" spans="1:11">
      <c r="A754" s="77" t="s">
        <v>262</v>
      </c>
      <c r="B754" s="84" t="s">
        <v>947</v>
      </c>
      <c r="C754" s="205">
        <v>24</v>
      </c>
      <c r="D754" s="138" t="s">
        <v>658</v>
      </c>
      <c r="E754" s="135">
        <v>0</v>
      </c>
      <c r="F754" s="216" t="s">
        <v>307</v>
      </c>
      <c r="G754" s="4">
        <v>7</v>
      </c>
      <c r="H754" s="23">
        <f t="shared" si="46"/>
        <v>136</v>
      </c>
      <c r="I754" s="22" t="s">
        <v>380</v>
      </c>
      <c r="J754" s="85"/>
      <c r="K754" s="76"/>
    </row>
    <row r="755" spans="1:11">
      <c r="A755" s="77" t="s">
        <v>262</v>
      </c>
      <c r="B755" s="84" t="s">
        <v>947</v>
      </c>
      <c r="C755" s="206">
        <v>25</v>
      </c>
      <c r="D755" s="138" t="s">
        <v>960</v>
      </c>
      <c r="E755" s="135">
        <v>0</v>
      </c>
      <c r="F755" s="216" t="s">
        <v>307</v>
      </c>
      <c r="G755" s="4">
        <v>15</v>
      </c>
      <c r="H755" s="23">
        <f t="shared" si="46"/>
        <v>151</v>
      </c>
      <c r="I755" s="22" t="s">
        <v>380</v>
      </c>
      <c r="J755" s="85"/>
      <c r="K755" s="76"/>
    </row>
    <row r="756" spans="1:11">
      <c r="A756" s="77" t="s">
        <v>262</v>
      </c>
      <c r="B756" s="84" t="s">
        <v>947</v>
      </c>
      <c r="C756" s="205">
        <v>26</v>
      </c>
      <c r="D756" s="138" t="s">
        <v>961</v>
      </c>
      <c r="E756" s="135">
        <v>3</v>
      </c>
      <c r="F756" s="216" t="s">
        <v>312</v>
      </c>
      <c r="G756" s="4">
        <v>5</v>
      </c>
      <c r="H756" s="23">
        <f t="shared" si="46"/>
        <v>156</v>
      </c>
      <c r="I756" s="22" t="s">
        <v>955</v>
      </c>
      <c r="J756" s="85"/>
      <c r="K756" s="76"/>
    </row>
    <row r="757" spans="1:11">
      <c r="A757" s="77" t="s">
        <v>262</v>
      </c>
      <c r="B757" s="84" t="s">
        <v>947</v>
      </c>
      <c r="C757" s="206">
        <v>27</v>
      </c>
      <c r="D757" s="138" t="s">
        <v>962</v>
      </c>
      <c r="E757" s="135">
        <v>0</v>
      </c>
      <c r="F757" s="216" t="s">
        <v>307</v>
      </c>
      <c r="G757" s="4">
        <v>7</v>
      </c>
      <c r="H757" s="23">
        <f t="shared" si="46"/>
        <v>163</v>
      </c>
      <c r="I757" s="22" t="s">
        <v>380</v>
      </c>
      <c r="J757" s="85"/>
      <c r="K757" s="76"/>
    </row>
    <row r="758" spans="1:11">
      <c r="A758" s="77" t="s">
        <v>262</v>
      </c>
      <c r="B758" s="84" t="s">
        <v>947</v>
      </c>
      <c r="C758" s="205">
        <v>28</v>
      </c>
      <c r="D758" s="138" t="s">
        <v>963</v>
      </c>
      <c r="E758" s="135">
        <v>0</v>
      </c>
      <c r="F758" s="216" t="s">
        <v>307</v>
      </c>
      <c r="G758" s="4">
        <v>18</v>
      </c>
      <c r="H758" s="23">
        <f t="shared" si="46"/>
        <v>181</v>
      </c>
      <c r="I758" s="22" t="s">
        <v>380</v>
      </c>
      <c r="J758" s="85"/>
      <c r="K758" s="76"/>
    </row>
    <row r="759" spans="1:11">
      <c r="A759" s="77" t="s">
        <v>262</v>
      </c>
      <c r="B759" s="84" t="s">
        <v>947</v>
      </c>
      <c r="C759" s="206">
        <v>29</v>
      </c>
      <c r="D759" s="138" t="s">
        <v>964</v>
      </c>
      <c r="E759" s="135">
        <v>3</v>
      </c>
      <c r="F759" s="216" t="s">
        <v>312</v>
      </c>
      <c r="G759" s="4">
        <v>5</v>
      </c>
      <c r="H759" s="23">
        <f t="shared" si="46"/>
        <v>186</v>
      </c>
      <c r="I759" s="22" t="s">
        <v>955</v>
      </c>
      <c r="J759" s="85"/>
      <c r="K759" s="76"/>
    </row>
    <row r="760" spans="1:11">
      <c r="A760" s="77" t="s">
        <v>262</v>
      </c>
      <c r="B760" s="84" t="s">
        <v>947</v>
      </c>
      <c r="C760" s="205">
        <v>30</v>
      </c>
      <c r="D760" s="138" t="s">
        <v>965</v>
      </c>
      <c r="E760" s="135">
        <v>0</v>
      </c>
      <c r="F760" s="216" t="s">
        <v>307</v>
      </c>
      <c r="G760" s="4">
        <v>7</v>
      </c>
      <c r="H760" s="23">
        <f t="shared" si="46"/>
        <v>193</v>
      </c>
      <c r="I760" s="22" t="s">
        <v>380</v>
      </c>
      <c r="J760" s="85"/>
      <c r="K760" s="76"/>
    </row>
    <row r="761" spans="1:11">
      <c r="A761" s="77" t="s">
        <v>262</v>
      </c>
      <c r="B761" s="84" t="s">
        <v>947</v>
      </c>
      <c r="C761" s="206">
        <v>31</v>
      </c>
      <c r="D761" s="138" t="s">
        <v>966</v>
      </c>
      <c r="E761" s="135">
        <v>3</v>
      </c>
      <c r="F761" s="216" t="s">
        <v>312</v>
      </c>
      <c r="G761" s="4">
        <v>5</v>
      </c>
      <c r="H761" s="23">
        <f t="shared" si="46"/>
        <v>198</v>
      </c>
      <c r="I761" s="22" t="s">
        <v>955</v>
      </c>
      <c r="J761" s="85"/>
      <c r="K761" s="76"/>
    </row>
    <row r="762" spans="1:11">
      <c r="A762" s="77" t="s">
        <v>262</v>
      </c>
      <c r="B762" s="84" t="s">
        <v>947</v>
      </c>
      <c r="C762" s="205">
        <v>32</v>
      </c>
      <c r="D762" s="138" t="s">
        <v>967</v>
      </c>
      <c r="E762" s="135">
        <v>0</v>
      </c>
      <c r="F762" s="216" t="s">
        <v>307</v>
      </c>
      <c r="G762" s="4">
        <v>7</v>
      </c>
      <c r="H762" s="23">
        <f t="shared" si="46"/>
        <v>205</v>
      </c>
      <c r="I762" s="22" t="s">
        <v>380</v>
      </c>
      <c r="J762" s="85"/>
      <c r="K762" s="76"/>
    </row>
    <row r="763" spans="1:11">
      <c r="A763" s="77" t="s">
        <v>262</v>
      </c>
      <c r="B763" s="84" t="s">
        <v>947</v>
      </c>
      <c r="C763" s="206">
        <v>33</v>
      </c>
      <c r="D763" s="138" t="s">
        <v>968</v>
      </c>
      <c r="E763" s="135">
        <v>0</v>
      </c>
      <c r="F763" s="216" t="s">
        <v>307</v>
      </c>
      <c r="G763" s="4">
        <v>4</v>
      </c>
      <c r="H763" s="23">
        <f t="shared" si="46"/>
        <v>209</v>
      </c>
      <c r="I763" s="22" t="s">
        <v>380</v>
      </c>
      <c r="J763" s="85"/>
      <c r="K763" s="76"/>
    </row>
    <row r="764" spans="1:11">
      <c r="A764" s="77" t="s">
        <v>262</v>
      </c>
      <c r="B764" s="84" t="s">
        <v>947</v>
      </c>
      <c r="C764" s="205">
        <v>34</v>
      </c>
      <c r="D764" s="138" t="s">
        <v>969</v>
      </c>
      <c r="E764" s="135">
        <v>0</v>
      </c>
      <c r="F764" s="216" t="s">
        <v>307</v>
      </c>
      <c r="G764" s="4">
        <v>15</v>
      </c>
      <c r="H764" s="23">
        <f t="shared" si="46"/>
        <v>224</v>
      </c>
      <c r="I764" s="22" t="s">
        <v>380</v>
      </c>
      <c r="J764" s="85"/>
      <c r="K764" s="76"/>
    </row>
    <row r="765" spans="1:11">
      <c r="A765" s="77" t="s">
        <v>262</v>
      </c>
      <c r="B765" s="84" t="s">
        <v>947</v>
      </c>
      <c r="C765" s="206">
        <v>35</v>
      </c>
      <c r="D765" s="138" t="s">
        <v>970</v>
      </c>
      <c r="E765" s="135">
        <v>0</v>
      </c>
      <c r="F765" s="216" t="s">
        <v>307</v>
      </c>
      <c r="G765" s="4">
        <v>18</v>
      </c>
      <c r="H765" s="23">
        <f t="shared" si="46"/>
        <v>242</v>
      </c>
      <c r="I765" s="22" t="s">
        <v>380</v>
      </c>
      <c r="J765" s="85"/>
      <c r="K765" s="76"/>
    </row>
    <row r="766" spans="1:11">
      <c r="A766" s="77" t="s">
        <v>262</v>
      </c>
      <c r="B766" s="84" t="s">
        <v>947</v>
      </c>
      <c r="C766" s="205">
        <v>36</v>
      </c>
      <c r="D766" s="138" t="s">
        <v>320</v>
      </c>
      <c r="E766" s="135">
        <v>0</v>
      </c>
      <c r="F766" s="211" t="s">
        <v>291</v>
      </c>
      <c r="G766" s="4">
        <v>137</v>
      </c>
      <c r="H766" s="23">
        <f t="shared" si="46"/>
        <v>379</v>
      </c>
      <c r="I766" s="22" t="s">
        <v>321</v>
      </c>
      <c r="J766" s="85"/>
      <c r="K766" s="76"/>
    </row>
    <row r="767" spans="1:11">
      <c r="A767" s="77" t="s">
        <v>262</v>
      </c>
      <c r="B767" s="80" t="s">
        <v>947</v>
      </c>
      <c r="C767" s="145">
        <v>37</v>
      </c>
      <c r="D767" s="139" t="s">
        <v>298</v>
      </c>
      <c r="E767" s="136">
        <v>0</v>
      </c>
      <c r="F767" s="215" t="s">
        <v>291</v>
      </c>
      <c r="G767" s="134">
        <v>1</v>
      </c>
      <c r="H767" s="74">
        <f t="shared" si="46"/>
        <v>380</v>
      </c>
      <c r="I767" s="36" t="s">
        <v>299</v>
      </c>
      <c r="J767" s="74"/>
      <c r="K767" s="74"/>
    </row>
    <row r="768" spans="1:11">
      <c r="A768" s="77" t="s">
        <v>971</v>
      </c>
      <c r="B768" s="79" t="s">
        <v>972</v>
      </c>
      <c r="C768" s="76">
        <v>1</v>
      </c>
      <c r="D768" s="138" t="s">
        <v>290</v>
      </c>
      <c r="E768" s="137">
        <v>0</v>
      </c>
      <c r="F768" s="210" t="s">
        <v>291</v>
      </c>
      <c r="G768" s="133">
        <v>2</v>
      </c>
      <c r="H768" s="76">
        <v>2</v>
      </c>
      <c r="I768" s="75" t="s">
        <v>923</v>
      </c>
      <c r="J768" s="76"/>
      <c r="K768" s="76"/>
    </row>
    <row r="769" spans="1:11">
      <c r="A769" s="188" t="s">
        <v>264</v>
      </c>
      <c r="B769" s="199" t="s">
        <v>973</v>
      </c>
      <c r="C769" s="191">
        <v>2</v>
      </c>
      <c r="D769" s="184" t="s">
        <v>302</v>
      </c>
      <c r="E769" s="196">
        <v>0</v>
      </c>
      <c r="F769" s="214" t="s">
        <v>291</v>
      </c>
      <c r="G769" s="198">
        <v>3</v>
      </c>
      <c r="H769" s="186">
        <f t="shared" ref="H769:H814" si="47">H768+G769</f>
        <v>5</v>
      </c>
      <c r="I769" s="187" t="s">
        <v>503</v>
      </c>
      <c r="J769" s="85"/>
      <c r="K769" s="76"/>
    </row>
    <row r="770" spans="1:11">
      <c r="A770" s="77" t="s">
        <v>264</v>
      </c>
      <c r="B770" s="84" t="s">
        <v>973</v>
      </c>
      <c r="C770" s="206">
        <v>3</v>
      </c>
      <c r="D770" s="138" t="s">
        <v>925</v>
      </c>
      <c r="E770" s="135">
        <v>0</v>
      </c>
      <c r="F770" s="211" t="s">
        <v>291</v>
      </c>
      <c r="G770" s="4">
        <v>4</v>
      </c>
      <c r="H770" s="23">
        <f t="shared" si="47"/>
        <v>9</v>
      </c>
      <c r="I770" s="22" t="s">
        <v>926</v>
      </c>
      <c r="J770" s="85"/>
      <c r="K770" s="76"/>
    </row>
    <row r="771" spans="1:11">
      <c r="A771" s="77" t="s">
        <v>264</v>
      </c>
      <c r="B771" s="84" t="s">
        <v>973</v>
      </c>
      <c r="C771" s="205">
        <v>4</v>
      </c>
      <c r="D771" s="138" t="s">
        <v>927</v>
      </c>
      <c r="E771" s="135">
        <v>0</v>
      </c>
      <c r="F771" s="216" t="s">
        <v>307</v>
      </c>
      <c r="G771" s="4">
        <v>6</v>
      </c>
      <c r="H771" s="23">
        <f t="shared" si="47"/>
        <v>15</v>
      </c>
      <c r="I771" s="22" t="s">
        <v>380</v>
      </c>
      <c r="J771" s="85"/>
      <c r="K771" s="76"/>
    </row>
    <row r="772" spans="1:11">
      <c r="A772" s="77" t="s">
        <v>264</v>
      </c>
      <c r="B772" s="84" t="s">
        <v>973</v>
      </c>
      <c r="C772" s="206">
        <v>5</v>
      </c>
      <c r="D772" s="138" t="s">
        <v>928</v>
      </c>
      <c r="E772" s="135">
        <v>0</v>
      </c>
      <c r="F772" s="211" t="s">
        <v>291</v>
      </c>
      <c r="G772" s="4">
        <v>2</v>
      </c>
      <c r="H772" s="23">
        <f t="shared" si="47"/>
        <v>17</v>
      </c>
      <c r="I772" s="22" t="s">
        <v>929</v>
      </c>
      <c r="J772" s="85"/>
      <c r="K772" s="76"/>
    </row>
    <row r="773" spans="1:11">
      <c r="A773" s="77" t="s">
        <v>264</v>
      </c>
      <c r="B773" s="84" t="s">
        <v>973</v>
      </c>
      <c r="C773" s="205">
        <v>6</v>
      </c>
      <c r="D773" s="138" t="s">
        <v>306</v>
      </c>
      <c r="E773" s="135">
        <v>0</v>
      </c>
      <c r="F773" s="216" t="s">
        <v>307</v>
      </c>
      <c r="G773" s="4">
        <v>6</v>
      </c>
      <c r="H773" s="23">
        <f t="shared" si="47"/>
        <v>23</v>
      </c>
      <c r="I773" s="22" t="s">
        <v>380</v>
      </c>
      <c r="J773" s="85"/>
      <c r="K773" s="76"/>
    </row>
    <row r="774" spans="1:11">
      <c r="A774" s="77" t="s">
        <v>264</v>
      </c>
      <c r="B774" s="84" t="s">
        <v>973</v>
      </c>
      <c r="C774" s="206">
        <v>7</v>
      </c>
      <c r="D774" s="138" t="s">
        <v>930</v>
      </c>
      <c r="E774" s="135">
        <v>0</v>
      </c>
      <c r="F774" s="211" t="s">
        <v>291</v>
      </c>
      <c r="G774" s="4">
        <v>14</v>
      </c>
      <c r="H774" s="23">
        <f t="shared" si="47"/>
        <v>37</v>
      </c>
      <c r="I774" s="22" t="s">
        <v>931</v>
      </c>
      <c r="J774" s="85"/>
      <c r="K774" s="76"/>
    </row>
    <row r="775" spans="1:11">
      <c r="A775" s="77" t="s">
        <v>264</v>
      </c>
      <c r="B775" s="84" t="s">
        <v>973</v>
      </c>
      <c r="C775" s="205">
        <v>8</v>
      </c>
      <c r="D775" s="138" t="s">
        <v>932</v>
      </c>
      <c r="E775" s="135">
        <v>0</v>
      </c>
      <c r="F775" s="211" t="s">
        <v>291</v>
      </c>
      <c r="G775" s="4">
        <v>3</v>
      </c>
      <c r="H775" s="23">
        <f t="shared" si="47"/>
        <v>40</v>
      </c>
      <c r="I775" s="22" t="s">
        <v>974</v>
      </c>
      <c r="J775" s="85"/>
      <c r="K775" s="76"/>
    </row>
    <row r="776" spans="1:11">
      <c r="A776" s="77" t="s">
        <v>264</v>
      </c>
      <c r="B776" s="84" t="s">
        <v>973</v>
      </c>
      <c r="C776" s="206">
        <v>9</v>
      </c>
      <c r="D776" s="138" t="s">
        <v>934</v>
      </c>
      <c r="E776" s="135">
        <v>0</v>
      </c>
      <c r="F776" s="211" t="s">
        <v>291</v>
      </c>
      <c r="G776" s="4">
        <v>2</v>
      </c>
      <c r="H776" s="23">
        <f t="shared" si="47"/>
        <v>42</v>
      </c>
      <c r="I776" s="22" t="s">
        <v>935</v>
      </c>
      <c r="J776" s="85"/>
      <c r="K776" s="76"/>
    </row>
    <row r="777" spans="1:11" ht="22.5">
      <c r="A777" s="77" t="s">
        <v>264</v>
      </c>
      <c r="B777" s="84" t="s">
        <v>973</v>
      </c>
      <c r="C777" s="205">
        <v>10</v>
      </c>
      <c r="D777" s="138" t="s">
        <v>936</v>
      </c>
      <c r="E777" s="135">
        <v>0</v>
      </c>
      <c r="F777" s="216" t="s">
        <v>307</v>
      </c>
      <c r="G777" s="4">
        <v>6</v>
      </c>
      <c r="H777" s="23">
        <f t="shared" si="47"/>
        <v>48</v>
      </c>
      <c r="I777" s="22" t="s">
        <v>937</v>
      </c>
      <c r="J777" s="85"/>
      <c r="K777" s="76"/>
    </row>
    <row r="778" spans="1:11">
      <c r="A778" s="77" t="s">
        <v>264</v>
      </c>
      <c r="B778" s="84" t="s">
        <v>973</v>
      </c>
      <c r="C778" s="206">
        <v>11</v>
      </c>
      <c r="D778" s="138" t="s">
        <v>903</v>
      </c>
      <c r="E778" s="135">
        <v>0</v>
      </c>
      <c r="F778" s="211" t="s">
        <v>291</v>
      </c>
      <c r="G778" s="4">
        <v>8</v>
      </c>
      <c r="H778" s="23">
        <f t="shared" si="47"/>
        <v>56</v>
      </c>
      <c r="I778" s="22" t="s">
        <v>310</v>
      </c>
      <c r="J778" s="85"/>
      <c r="K778" s="76"/>
    </row>
    <row r="779" spans="1:11">
      <c r="A779" s="77" t="s">
        <v>264</v>
      </c>
      <c r="B779" s="84" t="s">
        <v>973</v>
      </c>
      <c r="C779" s="205">
        <v>12</v>
      </c>
      <c r="D779" s="138" t="s">
        <v>304</v>
      </c>
      <c r="E779" s="135">
        <v>0</v>
      </c>
      <c r="F779" s="211" t="s">
        <v>291</v>
      </c>
      <c r="G779" s="4">
        <v>12</v>
      </c>
      <c r="H779" s="23">
        <f t="shared" si="47"/>
        <v>68</v>
      </c>
      <c r="I779" s="22" t="s">
        <v>380</v>
      </c>
      <c r="J779" s="85"/>
      <c r="K779" s="76"/>
    </row>
    <row r="780" spans="1:11">
      <c r="A780" s="77" t="s">
        <v>264</v>
      </c>
      <c r="B780" s="84" t="s">
        <v>973</v>
      </c>
      <c r="C780" s="206">
        <v>13</v>
      </c>
      <c r="D780" s="138" t="s">
        <v>951</v>
      </c>
      <c r="E780" s="135">
        <v>0</v>
      </c>
      <c r="F780" s="211" t="s">
        <v>291</v>
      </c>
      <c r="G780" s="4">
        <v>1</v>
      </c>
      <c r="H780" s="23">
        <f t="shared" si="47"/>
        <v>69</v>
      </c>
      <c r="I780" s="22" t="s">
        <v>952</v>
      </c>
      <c r="J780" s="85"/>
      <c r="K780" s="76"/>
    </row>
    <row r="781" spans="1:11">
      <c r="A781" s="77" t="s">
        <v>264</v>
      </c>
      <c r="B781" s="84" t="s">
        <v>973</v>
      </c>
      <c r="C781" s="205">
        <v>14</v>
      </c>
      <c r="D781" s="138" t="s">
        <v>975</v>
      </c>
      <c r="E781" s="135">
        <v>0</v>
      </c>
      <c r="F781" s="211" t="s">
        <v>291</v>
      </c>
      <c r="G781" s="4">
        <v>7</v>
      </c>
      <c r="H781" s="23">
        <f t="shared" si="47"/>
        <v>76</v>
      </c>
      <c r="I781" s="22" t="s">
        <v>321</v>
      </c>
      <c r="J781" s="85"/>
      <c r="K781" s="76"/>
    </row>
    <row r="782" spans="1:11">
      <c r="A782" s="77" t="s">
        <v>264</v>
      </c>
      <c r="B782" s="84" t="s">
        <v>973</v>
      </c>
      <c r="C782" s="206">
        <v>15</v>
      </c>
      <c r="D782" s="138" t="s">
        <v>976</v>
      </c>
      <c r="E782" s="135">
        <v>3</v>
      </c>
      <c r="F782" s="216" t="s">
        <v>312</v>
      </c>
      <c r="G782" s="4">
        <v>5</v>
      </c>
      <c r="H782" s="23">
        <f t="shared" si="47"/>
        <v>81</v>
      </c>
      <c r="I782" s="22" t="s">
        <v>955</v>
      </c>
      <c r="J782" s="85"/>
      <c r="K782" s="76"/>
    </row>
    <row r="783" spans="1:11">
      <c r="A783" s="77" t="s">
        <v>264</v>
      </c>
      <c r="B783" s="84" t="s">
        <v>973</v>
      </c>
      <c r="C783" s="205">
        <v>16</v>
      </c>
      <c r="D783" s="138" t="s">
        <v>977</v>
      </c>
      <c r="E783" s="135">
        <v>0</v>
      </c>
      <c r="F783" s="216" t="s">
        <v>307</v>
      </c>
      <c r="G783" s="4">
        <v>15</v>
      </c>
      <c r="H783" s="23">
        <f t="shared" si="47"/>
        <v>96</v>
      </c>
      <c r="I783" s="22" t="s">
        <v>346</v>
      </c>
      <c r="J783" s="85"/>
      <c r="K783" s="76"/>
    </row>
    <row r="784" spans="1:11">
      <c r="A784" s="77" t="s">
        <v>264</v>
      </c>
      <c r="B784" s="84" t="s">
        <v>973</v>
      </c>
      <c r="C784" s="206">
        <v>17</v>
      </c>
      <c r="D784" s="138" t="s">
        <v>978</v>
      </c>
      <c r="E784" s="135">
        <v>0</v>
      </c>
      <c r="F784" s="211" t="s">
        <v>291</v>
      </c>
      <c r="G784" s="4">
        <v>7</v>
      </c>
      <c r="H784" s="23">
        <f t="shared" si="47"/>
        <v>103</v>
      </c>
      <c r="I784" s="22" t="s">
        <v>321</v>
      </c>
      <c r="J784" s="85"/>
      <c r="K784" s="76"/>
    </row>
    <row r="785" spans="1:11">
      <c r="A785" s="77" t="s">
        <v>264</v>
      </c>
      <c r="B785" s="84" t="s">
        <v>973</v>
      </c>
      <c r="C785" s="205">
        <v>18</v>
      </c>
      <c r="D785" s="138" t="s">
        <v>979</v>
      </c>
      <c r="E785" s="135">
        <v>3</v>
      </c>
      <c r="F785" s="216" t="s">
        <v>312</v>
      </c>
      <c r="G785" s="4">
        <v>5</v>
      </c>
      <c r="H785" s="23">
        <f t="shared" si="47"/>
        <v>108</v>
      </c>
      <c r="I785" s="22" t="s">
        <v>955</v>
      </c>
      <c r="J785" s="85"/>
      <c r="K785" s="76"/>
    </row>
    <row r="786" spans="1:11">
      <c r="A786" s="77" t="s">
        <v>264</v>
      </c>
      <c r="B786" s="84" t="s">
        <v>973</v>
      </c>
      <c r="C786" s="206">
        <v>19</v>
      </c>
      <c r="D786" s="138" t="s">
        <v>980</v>
      </c>
      <c r="E786" s="135">
        <v>0</v>
      </c>
      <c r="F786" s="216" t="s">
        <v>307</v>
      </c>
      <c r="G786" s="4">
        <v>15</v>
      </c>
      <c r="H786" s="23">
        <f t="shared" si="47"/>
        <v>123</v>
      </c>
      <c r="I786" s="22" t="s">
        <v>346</v>
      </c>
      <c r="J786" s="85"/>
      <c r="K786" s="76"/>
    </row>
    <row r="787" spans="1:11">
      <c r="A787" s="77" t="s">
        <v>264</v>
      </c>
      <c r="B787" s="84" t="s">
        <v>973</v>
      </c>
      <c r="C787" s="205">
        <v>20</v>
      </c>
      <c r="D787" s="138" t="s">
        <v>981</v>
      </c>
      <c r="E787" s="135">
        <v>0</v>
      </c>
      <c r="F787" s="211" t="s">
        <v>291</v>
      </c>
      <c r="G787" s="4">
        <v>7</v>
      </c>
      <c r="H787" s="23">
        <f t="shared" si="47"/>
        <v>130</v>
      </c>
      <c r="I787" s="22" t="s">
        <v>321</v>
      </c>
      <c r="J787" s="85"/>
      <c r="K787" s="76"/>
    </row>
    <row r="788" spans="1:11">
      <c r="A788" s="77" t="s">
        <v>264</v>
      </c>
      <c r="B788" s="84" t="s">
        <v>973</v>
      </c>
      <c r="C788" s="206">
        <v>21</v>
      </c>
      <c r="D788" s="138" t="s">
        <v>982</v>
      </c>
      <c r="E788" s="135">
        <v>3</v>
      </c>
      <c r="F788" s="216" t="s">
        <v>312</v>
      </c>
      <c r="G788" s="4">
        <v>5</v>
      </c>
      <c r="H788" s="23">
        <f t="shared" si="47"/>
        <v>135</v>
      </c>
      <c r="I788" s="22" t="s">
        <v>955</v>
      </c>
      <c r="J788" s="85"/>
      <c r="K788" s="76"/>
    </row>
    <row r="789" spans="1:11">
      <c r="A789" s="77" t="s">
        <v>264</v>
      </c>
      <c r="B789" s="84" t="s">
        <v>973</v>
      </c>
      <c r="C789" s="205">
        <v>22</v>
      </c>
      <c r="D789" s="138" t="s">
        <v>983</v>
      </c>
      <c r="E789" s="135">
        <v>0</v>
      </c>
      <c r="F789" s="216" t="s">
        <v>307</v>
      </c>
      <c r="G789" s="4">
        <v>15</v>
      </c>
      <c r="H789" s="23">
        <f t="shared" si="47"/>
        <v>150</v>
      </c>
      <c r="I789" s="22" t="s">
        <v>346</v>
      </c>
      <c r="J789" s="85"/>
      <c r="K789" s="76"/>
    </row>
    <row r="790" spans="1:11">
      <c r="A790" s="77" t="s">
        <v>264</v>
      </c>
      <c r="B790" s="84" t="s">
        <v>973</v>
      </c>
      <c r="C790" s="206">
        <v>23</v>
      </c>
      <c r="D790" s="138" t="s">
        <v>984</v>
      </c>
      <c r="E790" s="135">
        <v>0</v>
      </c>
      <c r="F790" s="211" t="s">
        <v>291</v>
      </c>
      <c r="G790" s="4">
        <v>7</v>
      </c>
      <c r="H790" s="23">
        <f t="shared" si="47"/>
        <v>157</v>
      </c>
      <c r="I790" s="22" t="s">
        <v>321</v>
      </c>
      <c r="J790" s="85"/>
      <c r="K790" s="76"/>
    </row>
    <row r="791" spans="1:11">
      <c r="A791" s="77" t="s">
        <v>264</v>
      </c>
      <c r="B791" s="84" t="s">
        <v>973</v>
      </c>
      <c r="C791" s="205">
        <v>24</v>
      </c>
      <c r="D791" s="138" t="s">
        <v>985</v>
      </c>
      <c r="E791" s="135">
        <v>3</v>
      </c>
      <c r="F791" s="216" t="s">
        <v>312</v>
      </c>
      <c r="G791" s="4">
        <v>5</v>
      </c>
      <c r="H791" s="23">
        <f t="shared" si="47"/>
        <v>162</v>
      </c>
      <c r="I791" s="22" t="s">
        <v>955</v>
      </c>
      <c r="J791" s="85"/>
      <c r="K791" s="76"/>
    </row>
    <row r="792" spans="1:11">
      <c r="A792" s="77" t="s">
        <v>264</v>
      </c>
      <c r="B792" s="84" t="s">
        <v>973</v>
      </c>
      <c r="C792" s="206">
        <v>25</v>
      </c>
      <c r="D792" s="138" t="s">
        <v>986</v>
      </c>
      <c r="E792" s="135">
        <v>0</v>
      </c>
      <c r="F792" s="216" t="s">
        <v>307</v>
      </c>
      <c r="G792" s="4">
        <v>15</v>
      </c>
      <c r="H792" s="23">
        <f t="shared" si="47"/>
        <v>177</v>
      </c>
      <c r="I792" s="22" t="s">
        <v>346</v>
      </c>
      <c r="J792" s="85"/>
      <c r="K792" s="76"/>
    </row>
    <row r="793" spans="1:11">
      <c r="A793" s="77" t="s">
        <v>264</v>
      </c>
      <c r="B793" s="84" t="s">
        <v>973</v>
      </c>
      <c r="C793" s="205">
        <v>26</v>
      </c>
      <c r="D793" s="138" t="s">
        <v>987</v>
      </c>
      <c r="E793" s="135">
        <v>0</v>
      </c>
      <c r="F793" s="211" t="s">
        <v>291</v>
      </c>
      <c r="G793" s="4">
        <v>7</v>
      </c>
      <c r="H793" s="23">
        <f t="shared" si="47"/>
        <v>184</v>
      </c>
      <c r="I793" s="22" t="s">
        <v>321</v>
      </c>
      <c r="J793" s="85"/>
      <c r="K793" s="76"/>
    </row>
    <row r="794" spans="1:11">
      <c r="A794" s="77" t="s">
        <v>264</v>
      </c>
      <c r="B794" s="84" t="s">
        <v>973</v>
      </c>
      <c r="C794" s="206">
        <v>27</v>
      </c>
      <c r="D794" s="138" t="s">
        <v>988</v>
      </c>
      <c r="E794" s="135">
        <v>3</v>
      </c>
      <c r="F794" s="216" t="s">
        <v>312</v>
      </c>
      <c r="G794" s="4">
        <v>5</v>
      </c>
      <c r="H794" s="23">
        <f t="shared" si="47"/>
        <v>189</v>
      </c>
      <c r="I794" s="22" t="s">
        <v>955</v>
      </c>
      <c r="J794" s="85"/>
      <c r="K794" s="76"/>
    </row>
    <row r="795" spans="1:11">
      <c r="A795" s="77" t="s">
        <v>264</v>
      </c>
      <c r="B795" s="84" t="s">
        <v>973</v>
      </c>
      <c r="C795" s="205">
        <v>28</v>
      </c>
      <c r="D795" s="138" t="s">
        <v>989</v>
      </c>
      <c r="E795" s="135">
        <v>0</v>
      </c>
      <c r="F795" s="216" t="s">
        <v>307</v>
      </c>
      <c r="G795" s="4">
        <v>15</v>
      </c>
      <c r="H795" s="23">
        <f t="shared" si="47"/>
        <v>204</v>
      </c>
      <c r="I795" s="22" t="s">
        <v>346</v>
      </c>
      <c r="J795" s="85"/>
      <c r="K795" s="76"/>
    </row>
    <row r="796" spans="1:11">
      <c r="A796" s="77" t="s">
        <v>264</v>
      </c>
      <c r="B796" s="84" t="s">
        <v>973</v>
      </c>
      <c r="C796" s="206">
        <v>29</v>
      </c>
      <c r="D796" s="138" t="s">
        <v>990</v>
      </c>
      <c r="E796" s="135">
        <v>0</v>
      </c>
      <c r="F796" s="211" t="s">
        <v>291</v>
      </c>
      <c r="G796" s="4">
        <v>7</v>
      </c>
      <c r="H796" s="23">
        <f t="shared" si="47"/>
        <v>211</v>
      </c>
      <c r="I796" s="22" t="s">
        <v>321</v>
      </c>
      <c r="J796" s="85"/>
      <c r="K796" s="76"/>
    </row>
    <row r="797" spans="1:11">
      <c r="A797" s="77" t="s">
        <v>264</v>
      </c>
      <c r="B797" s="84" t="s">
        <v>973</v>
      </c>
      <c r="C797" s="205">
        <v>30</v>
      </c>
      <c r="D797" s="138" t="s">
        <v>991</v>
      </c>
      <c r="E797" s="135">
        <v>3</v>
      </c>
      <c r="F797" s="216" t="s">
        <v>312</v>
      </c>
      <c r="G797" s="4">
        <v>5</v>
      </c>
      <c r="H797" s="23">
        <f t="shared" si="47"/>
        <v>216</v>
      </c>
      <c r="I797" s="22" t="s">
        <v>955</v>
      </c>
      <c r="J797" s="85"/>
      <c r="K797" s="76"/>
    </row>
    <row r="798" spans="1:11">
      <c r="A798" s="77" t="s">
        <v>264</v>
      </c>
      <c r="B798" s="84" t="s">
        <v>973</v>
      </c>
      <c r="C798" s="206">
        <v>31</v>
      </c>
      <c r="D798" s="138" t="s">
        <v>992</v>
      </c>
      <c r="E798" s="135">
        <v>0</v>
      </c>
      <c r="F798" s="216" t="s">
        <v>307</v>
      </c>
      <c r="G798" s="4">
        <v>15</v>
      </c>
      <c r="H798" s="23">
        <f t="shared" si="47"/>
        <v>231</v>
      </c>
      <c r="I798" s="22" t="s">
        <v>346</v>
      </c>
      <c r="J798" s="85"/>
      <c r="K798" s="76"/>
    </row>
    <row r="799" spans="1:11">
      <c r="A799" s="77" t="s">
        <v>264</v>
      </c>
      <c r="B799" s="84" t="s">
        <v>973</v>
      </c>
      <c r="C799" s="205">
        <v>32</v>
      </c>
      <c r="D799" s="138" t="s">
        <v>993</v>
      </c>
      <c r="E799" s="135">
        <v>0</v>
      </c>
      <c r="F799" s="211" t="s">
        <v>291</v>
      </c>
      <c r="G799" s="4">
        <v>7</v>
      </c>
      <c r="H799" s="23">
        <f t="shared" si="47"/>
        <v>238</v>
      </c>
      <c r="I799" s="22" t="s">
        <v>321</v>
      </c>
      <c r="J799" s="85"/>
      <c r="K799" s="76"/>
    </row>
    <row r="800" spans="1:11">
      <c r="A800" s="77" t="s">
        <v>264</v>
      </c>
      <c r="B800" s="84" t="s">
        <v>973</v>
      </c>
      <c r="C800" s="206">
        <v>33</v>
      </c>
      <c r="D800" s="138" t="s">
        <v>994</v>
      </c>
      <c r="E800" s="135">
        <v>3</v>
      </c>
      <c r="F800" s="216" t="s">
        <v>312</v>
      </c>
      <c r="G800" s="4">
        <v>5</v>
      </c>
      <c r="H800" s="23">
        <f t="shared" si="47"/>
        <v>243</v>
      </c>
      <c r="I800" s="22" t="s">
        <v>955</v>
      </c>
      <c r="J800" s="85"/>
      <c r="K800" s="76"/>
    </row>
    <row r="801" spans="1:11">
      <c r="A801" s="77" t="s">
        <v>264</v>
      </c>
      <c r="B801" s="84" t="s">
        <v>973</v>
      </c>
      <c r="C801" s="205">
        <v>34</v>
      </c>
      <c r="D801" s="138" t="s">
        <v>995</v>
      </c>
      <c r="E801" s="135">
        <v>0</v>
      </c>
      <c r="F801" s="216" t="s">
        <v>307</v>
      </c>
      <c r="G801" s="4">
        <v>15</v>
      </c>
      <c r="H801" s="23">
        <f t="shared" si="47"/>
        <v>258</v>
      </c>
      <c r="I801" s="22" t="s">
        <v>346</v>
      </c>
      <c r="J801" s="85"/>
      <c r="K801" s="76"/>
    </row>
    <row r="802" spans="1:11">
      <c r="A802" s="77" t="s">
        <v>264</v>
      </c>
      <c r="B802" s="84" t="s">
        <v>973</v>
      </c>
      <c r="C802" s="206">
        <v>35</v>
      </c>
      <c r="D802" s="138" t="s">
        <v>996</v>
      </c>
      <c r="E802" s="135">
        <v>0</v>
      </c>
      <c r="F802" s="211" t="s">
        <v>291</v>
      </c>
      <c r="G802" s="4">
        <v>7</v>
      </c>
      <c r="H802" s="23">
        <f t="shared" si="47"/>
        <v>265</v>
      </c>
      <c r="I802" s="22" t="s">
        <v>321</v>
      </c>
      <c r="J802" s="85"/>
      <c r="K802" s="76"/>
    </row>
    <row r="803" spans="1:11">
      <c r="A803" s="77" t="s">
        <v>264</v>
      </c>
      <c r="B803" s="84" t="s">
        <v>973</v>
      </c>
      <c r="C803" s="205">
        <v>36</v>
      </c>
      <c r="D803" s="138" t="s">
        <v>997</v>
      </c>
      <c r="E803" s="135">
        <v>3</v>
      </c>
      <c r="F803" s="216" t="s">
        <v>312</v>
      </c>
      <c r="G803" s="4">
        <v>5</v>
      </c>
      <c r="H803" s="23">
        <f t="shared" si="47"/>
        <v>270</v>
      </c>
      <c r="I803" s="22" t="s">
        <v>955</v>
      </c>
      <c r="J803" s="85"/>
      <c r="K803" s="76"/>
    </row>
    <row r="804" spans="1:11">
      <c r="A804" s="77" t="s">
        <v>264</v>
      </c>
      <c r="B804" s="84" t="s">
        <v>973</v>
      </c>
      <c r="C804" s="206">
        <v>37</v>
      </c>
      <c r="D804" s="138" t="s">
        <v>998</v>
      </c>
      <c r="E804" s="135">
        <v>0</v>
      </c>
      <c r="F804" s="216" t="s">
        <v>307</v>
      </c>
      <c r="G804" s="4">
        <v>15</v>
      </c>
      <c r="H804" s="23">
        <f t="shared" si="47"/>
        <v>285</v>
      </c>
      <c r="I804" s="22" t="s">
        <v>346</v>
      </c>
      <c r="J804" s="85"/>
      <c r="K804" s="76"/>
    </row>
    <row r="805" spans="1:11">
      <c r="A805" s="77" t="s">
        <v>264</v>
      </c>
      <c r="B805" s="84" t="s">
        <v>973</v>
      </c>
      <c r="C805" s="205">
        <v>38</v>
      </c>
      <c r="D805" s="138" t="s">
        <v>999</v>
      </c>
      <c r="E805" s="135">
        <v>0</v>
      </c>
      <c r="F805" s="211" t="s">
        <v>291</v>
      </c>
      <c r="G805" s="4">
        <v>7</v>
      </c>
      <c r="H805" s="23">
        <f t="shared" si="47"/>
        <v>292</v>
      </c>
      <c r="I805" s="22" t="s">
        <v>321</v>
      </c>
      <c r="J805" s="85"/>
      <c r="K805" s="76"/>
    </row>
    <row r="806" spans="1:11">
      <c r="A806" s="77" t="s">
        <v>264</v>
      </c>
      <c r="B806" s="84" t="s">
        <v>973</v>
      </c>
      <c r="C806" s="206">
        <v>39</v>
      </c>
      <c r="D806" s="138" t="s">
        <v>1000</v>
      </c>
      <c r="E806" s="135">
        <v>3</v>
      </c>
      <c r="F806" s="216" t="s">
        <v>312</v>
      </c>
      <c r="G806" s="4">
        <v>5</v>
      </c>
      <c r="H806" s="23">
        <f t="shared" si="47"/>
        <v>297</v>
      </c>
      <c r="I806" s="22" t="s">
        <v>955</v>
      </c>
      <c r="J806" s="85"/>
      <c r="K806" s="76"/>
    </row>
    <row r="807" spans="1:11">
      <c r="A807" s="77" t="s">
        <v>264</v>
      </c>
      <c r="B807" s="84" t="s">
        <v>973</v>
      </c>
      <c r="C807" s="205">
        <v>40</v>
      </c>
      <c r="D807" s="138" t="s">
        <v>1001</v>
      </c>
      <c r="E807" s="135">
        <v>0</v>
      </c>
      <c r="F807" s="216" t="s">
        <v>307</v>
      </c>
      <c r="G807" s="4">
        <v>15</v>
      </c>
      <c r="H807" s="23">
        <f t="shared" si="47"/>
        <v>312</v>
      </c>
      <c r="I807" s="22" t="s">
        <v>346</v>
      </c>
      <c r="J807" s="85"/>
      <c r="K807" s="76"/>
    </row>
    <row r="808" spans="1:11">
      <c r="A808" s="77" t="s">
        <v>264</v>
      </c>
      <c r="B808" s="84" t="s">
        <v>973</v>
      </c>
      <c r="C808" s="206">
        <v>41</v>
      </c>
      <c r="D808" s="138" t="s">
        <v>1002</v>
      </c>
      <c r="E808" s="135">
        <v>0</v>
      </c>
      <c r="F808" s="211" t="s">
        <v>291</v>
      </c>
      <c r="G808" s="4">
        <v>7</v>
      </c>
      <c r="H808" s="23">
        <f t="shared" si="47"/>
        <v>319</v>
      </c>
      <c r="I808" s="22" t="s">
        <v>321</v>
      </c>
      <c r="J808" s="85"/>
      <c r="K808" s="76"/>
    </row>
    <row r="809" spans="1:11">
      <c r="A809" s="77" t="s">
        <v>264</v>
      </c>
      <c r="B809" s="84" t="s">
        <v>973</v>
      </c>
      <c r="C809" s="205">
        <v>42</v>
      </c>
      <c r="D809" s="138" t="s">
        <v>1003</v>
      </c>
      <c r="E809" s="135">
        <v>3</v>
      </c>
      <c r="F809" s="216" t="s">
        <v>312</v>
      </c>
      <c r="G809" s="4">
        <v>5</v>
      </c>
      <c r="H809" s="23">
        <f t="shared" si="47"/>
        <v>324</v>
      </c>
      <c r="I809" s="22" t="s">
        <v>955</v>
      </c>
      <c r="J809" s="85"/>
      <c r="K809" s="76"/>
    </row>
    <row r="810" spans="1:11">
      <c r="A810" s="77" t="s">
        <v>264</v>
      </c>
      <c r="B810" s="84" t="s">
        <v>973</v>
      </c>
      <c r="C810" s="206">
        <v>43</v>
      </c>
      <c r="D810" s="138" t="s">
        <v>1004</v>
      </c>
      <c r="E810" s="135">
        <v>0</v>
      </c>
      <c r="F810" s="216" t="s">
        <v>307</v>
      </c>
      <c r="G810" s="4">
        <v>15</v>
      </c>
      <c r="H810" s="23">
        <f t="shared" si="47"/>
        <v>339</v>
      </c>
      <c r="I810" s="22" t="s">
        <v>346</v>
      </c>
      <c r="J810" s="85"/>
      <c r="K810" s="76"/>
    </row>
    <row r="811" spans="1:11">
      <c r="A811" s="77" t="s">
        <v>264</v>
      </c>
      <c r="B811" s="84" t="s">
        <v>973</v>
      </c>
      <c r="C811" s="205">
        <v>44</v>
      </c>
      <c r="D811" s="138" t="s">
        <v>771</v>
      </c>
      <c r="E811" s="135">
        <v>0</v>
      </c>
      <c r="F811" s="216" t="s">
        <v>307</v>
      </c>
      <c r="G811" s="4">
        <v>15</v>
      </c>
      <c r="H811" s="23">
        <f t="shared" si="47"/>
        <v>354</v>
      </c>
      <c r="I811" s="22" t="s">
        <v>380</v>
      </c>
      <c r="J811" s="85"/>
      <c r="K811" s="76"/>
    </row>
    <row r="812" spans="1:11">
      <c r="A812" s="77" t="s">
        <v>264</v>
      </c>
      <c r="B812" s="84" t="s">
        <v>973</v>
      </c>
      <c r="C812" s="206">
        <v>45</v>
      </c>
      <c r="D812" s="138" t="s">
        <v>770</v>
      </c>
      <c r="E812" s="135">
        <v>0</v>
      </c>
      <c r="F812" s="216" t="s">
        <v>307</v>
      </c>
      <c r="G812" s="4">
        <v>15</v>
      </c>
      <c r="H812" s="23">
        <f t="shared" si="47"/>
        <v>369</v>
      </c>
      <c r="I812" s="22" t="s">
        <v>380</v>
      </c>
      <c r="J812" s="85"/>
      <c r="K812" s="76"/>
    </row>
    <row r="813" spans="1:11">
      <c r="A813" s="77" t="s">
        <v>264</v>
      </c>
      <c r="B813" s="84" t="s">
        <v>973</v>
      </c>
      <c r="C813" s="205">
        <v>46</v>
      </c>
      <c r="D813" s="138" t="s">
        <v>320</v>
      </c>
      <c r="E813" s="135">
        <v>0</v>
      </c>
      <c r="F813" s="211" t="s">
        <v>291</v>
      </c>
      <c r="G813" s="4">
        <v>10</v>
      </c>
      <c r="H813" s="23">
        <f t="shared" si="47"/>
        <v>379</v>
      </c>
      <c r="I813" s="22" t="s">
        <v>380</v>
      </c>
      <c r="J813" s="85"/>
      <c r="K813" s="76"/>
    </row>
    <row r="814" spans="1:11">
      <c r="A814" s="77" t="s">
        <v>971</v>
      </c>
      <c r="B814" s="80" t="s">
        <v>972</v>
      </c>
      <c r="C814" s="145">
        <v>47</v>
      </c>
      <c r="D814" s="139" t="s">
        <v>298</v>
      </c>
      <c r="E814" s="136">
        <v>0</v>
      </c>
      <c r="F814" s="215" t="s">
        <v>291</v>
      </c>
      <c r="G814" s="134">
        <v>1</v>
      </c>
      <c r="H814" s="74">
        <f t="shared" si="47"/>
        <v>380</v>
      </c>
      <c r="I814" s="36" t="s">
        <v>299</v>
      </c>
      <c r="J814" s="74"/>
      <c r="K814" s="74"/>
    </row>
    <row r="815" spans="1:11">
      <c r="A815" s="77" t="s">
        <v>266</v>
      </c>
      <c r="B815" s="84" t="s">
        <v>1005</v>
      </c>
      <c r="C815" s="76">
        <v>1</v>
      </c>
      <c r="D815" s="138" t="s">
        <v>290</v>
      </c>
      <c r="E815" s="137">
        <v>0</v>
      </c>
      <c r="F815" s="210" t="s">
        <v>291</v>
      </c>
      <c r="G815" s="133">
        <v>2</v>
      </c>
      <c r="H815" s="76">
        <v>2</v>
      </c>
      <c r="I815" s="75" t="s">
        <v>923</v>
      </c>
      <c r="J815" s="85"/>
      <c r="K815" s="85"/>
    </row>
    <row r="816" spans="1:11">
      <c r="A816" s="188" t="s">
        <v>266</v>
      </c>
      <c r="B816" s="199" t="s">
        <v>1005</v>
      </c>
      <c r="C816" s="191">
        <v>2</v>
      </c>
      <c r="D816" s="184" t="s">
        <v>302</v>
      </c>
      <c r="E816" s="196">
        <v>0</v>
      </c>
      <c r="F816" s="214" t="s">
        <v>291</v>
      </c>
      <c r="G816" s="198">
        <v>3</v>
      </c>
      <c r="H816" s="186">
        <f t="shared" ref="H816:H844" si="48">H815+G816</f>
        <v>5</v>
      </c>
      <c r="I816" s="187" t="s">
        <v>503</v>
      </c>
      <c r="J816" s="85"/>
      <c r="K816" s="85"/>
    </row>
    <row r="817" spans="1:11">
      <c r="A817" s="77" t="s">
        <v>266</v>
      </c>
      <c r="B817" s="84" t="s">
        <v>1005</v>
      </c>
      <c r="C817" s="206">
        <v>3</v>
      </c>
      <c r="D817" s="138" t="s">
        <v>925</v>
      </c>
      <c r="E817" s="135">
        <v>0</v>
      </c>
      <c r="F817" s="211" t="s">
        <v>291</v>
      </c>
      <c r="G817" s="4">
        <v>4</v>
      </c>
      <c r="H817" s="23">
        <f t="shared" si="48"/>
        <v>9</v>
      </c>
      <c r="I817" s="22" t="s">
        <v>926</v>
      </c>
      <c r="J817" s="85"/>
      <c r="K817" s="85"/>
    </row>
    <row r="818" spans="1:11">
      <c r="A818" s="77" t="s">
        <v>266</v>
      </c>
      <c r="B818" s="84" t="s">
        <v>1005</v>
      </c>
      <c r="C818" s="205">
        <v>4</v>
      </c>
      <c r="D818" s="138" t="s">
        <v>927</v>
      </c>
      <c r="E818" s="135">
        <v>0</v>
      </c>
      <c r="F818" s="216" t="s">
        <v>307</v>
      </c>
      <c r="G818" s="4">
        <v>6</v>
      </c>
      <c r="H818" s="23">
        <f t="shared" si="48"/>
        <v>15</v>
      </c>
      <c r="I818" s="22" t="s">
        <v>380</v>
      </c>
      <c r="J818" s="85"/>
      <c r="K818" s="85"/>
    </row>
    <row r="819" spans="1:11">
      <c r="A819" s="77" t="s">
        <v>266</v>
      </c>
      <c r="B819" s="84" t="s">
        <v>1005</v>
      </c>
      <c r="C819" s="206">
        <v>5</v>
      </c>
      <c r="D819" s="138" t="s">
        <v>928</v>
      </c>
      <c r="E819" s="135">
        <v>0</v>
      </c>
      <c r="F819" s="211" t="s">
        <v>291</v>
      </c>
      <c r="G819" s="4">
        <v>2</v>
      </c>
      <c r="H819" s="23">
        <f t="shared" si="48"/>
        <v>17</v>
      </c>
      <c r="I819" s="22" t="s">
        <v>929</v>
      </c>
      <c r="J819" s="85"/>
      <c r="K819" s="85"/>
    </row>
    <row r="820" spans="1:11">
      <c r="A820" s="77" t="s">
        <v>266</v>
      </c>
      <c r="B820" s="84" t="s">
        <v>1005</v>
      </c>
      <c r="C820" s="205">
        <v>6</v>
      </c>
      <c r="D820" s="138" t="s">
        <v>306</v>
      </c>
      <c r="E820" s="135">
        <v>0</v>
      </c>
      <c r="F820" s="216" t="s">
        <v>307</v>
      </c>
      <c r="G820" s="4">
        <v>6</v>
      </c>
      <c r="H820" s="23">
        <f t="shared" si="48"/>
        <v>23</v>
      </c>
      <c r="I820" s="22" t="s">
        <v>380</v>
      </c>
      <c r="J820" s="85"/>
      <c r="K820" s="85"/>
    </row>
    <row r="821" spans="1:11">
      <c r="A821" s="77" t="s">
        <v>266</v>
      </c>
      <c r="B821" s="84" t="s">
        <v>1005</v>
      </c>
      <c r="C821" s="206">
        <v>7</v>
      </c>
      <c r="D821" s="138" t="s">
        <v>930</v>
      </c>
      <c r="E821" s="135">
        <v>0</v>
      </c>
      <c r="F821" s="211" t="s">
        <v>291</v>
      </c>
      <c r="G821" s="4">
        <v>14</v>
      </c>
      <c r="H821" s="23">
        <f t="shared" si="48"/>
        <v>37</v>
      </c>
      <c r="I821" s="22" t="s">
        <v>931</v>
      </c>
      <c r="J821" s="85"/>
      <c r="K821" s="85"/>
    </row>
    <row r="822" spans="1:11">
      <c r="A822" s="77" t="s">
        <v>266</v>
      </c>
      <c r="B822" s="84" t="s">
        <v>1005</v>
      </c>
      <c r="C822" s="205">
        <v>8</v>
      </c>
      <c r="D822" s="138" t="s">
        <v>932</v>
      </c>
      <c r="E822" s="135">
        <v>0</v>
      </c>
      <c r="F822" s="211" t="s">
        <v>291</v>
      </c>
      <c r="G822" s="4">
        <v>3</v>
      </c>
      <c r="H822" s="23">
        <f t="shared" si="48"/>
        <v>40</v>
      </c>
      <c r="I822" s="22" t="s">
        <v>1006</v>
      </c>
      <c r="J822" s="85"/>
      <c r="K822" s="85"/>
    </row>
    <row r="823" spans="1:11">
      <c r="A823" s="77" t="s">
        <v>266</v>
      </c>
      <c r="B823" s="84" t="s">
        <v>1005</v>
      </c>
      <c r="C823" s="206">
        <v>9</v>
      </c>
      <c r="D823" s="138" t="s">
        <v>934</v>
      </c>
      <c r="E823" s="135">
        <v>0</v>
      </c>
      <c r="F823" s="211" t="s">
        <v>291</v>
      </c>
      <c r="G823" s="4">
        <v>2</v>
      </c>
      <c r="H823" s="23">
        <f t="shared" si="48"/>
        <v>42</v>
      </c>
      <c r="I823" s="22" t="s">
        <v>935</v>
      </c>
      <c r="J823" s="85"/>
      <c r="K823" s="85"/>
    </row>
    <row r="824" spans="1:11" ht="22.5">
      <c r="A824" s="77" t="s">
        <v>266</v>
      </c>
      <c r="B824" s="84" t="s">
        <v>1005</v>
      </c>
      <c r="C824" s="205">
        <v>10</v>
      </c>
      <c r="D824" s="138" t="s">
        <v>936</v>
      </c>
      <c r="E824" s="135">
        <v>0</v>
      </c>
      <c r="F824" s="216" t="s">
        <v>307</v>
      </c>
      <c r="G824" s="4">
        <v>6</v>
      </c>
      <c r="H824" s="23">
        <f t="shared" si="48"/>
        <v>48</v>
      </c>
      <c r="I824" s="22" t="s">
        <v>937</v>
      </c>
      <c r="J824" s="85"/>
      <c r="K824" s="85"/>
    </row>
    <row r="825" spans="1:11">
      <c r="A825" s="77" t="s">
        <v>266</v>
      </c>
      <c r="B825" s="84" t="s">
        <v>1005</v>
      </c>
      <c r="C825" s="206">
        <v>11</v>
      </c>
      <c r="D825" s="138" t="s">
        <v>903</v>
      </c>
      <c r="E825" s="135">
        <v>0</v>
      </c>
      <c r="F825" s="211" t="s">
        <v>291</v>
      </c>
      <c r="G825" s="4">
        <v>8</v>
      </c>
      <c r="H825" s="23">
        <f t="shared" si="48"/>
        <v>56</v>
      </c>
      <c r="I825" s="22" t="s">
        <v>310</v>
      </c>
      <c r="J825" s="85"/>
      <c r="K825" s="85"/>
    </row>
    <row r="826" spans="1:11">
      <c r="A826" s="77" t="s">
        <v>266</v>
      </c>
      <c r="B826" s="84" t="s">
        <v>1005</v>
      </c>
      <c r="C826" s="205">
        <v>12</v>
      </c>
      <c r="D826" s="141" t="s">
        <v>1007</v>
      </c>
      <c r="E826" s="20">
        <v>0</v>
      </c>
      <c r="F826" s="220" t="s">
        <v>379</v>
      </c>
      <c r="G826" s="221">
        <v>2</v>
      </c>
      <c r="H826" s="23">
        <f t="shared" si="48"/>
        <v>58</v>
      </c>
      <c r="I826" s="86" t="s">
        <v>1008</v>
      </c>
      <c r="J826" s="85"/>
      <c r="K826" s="85"/>
    </row>
    <row r="827" spans="1:11">
      <c r="A827" s="77" t="s">
        <v>266</v>
      </c>
      <c r="B827" s="84" t="s">
        <v>1005</v>
      </c>
      <c r="C827" s="206">
        <v>13</v>
      </c>
      <c r="D827" s="141" t="s">
        <v>1009</v>
      </c>
      <c r="E827" s="20">
        <v>0</v>
      </c>
      <c r="F827" s="220" t="s">
        <v>379</v>
      </c>
      <c r="G827" s="221">
        <v>1</v>
      </c>
      <c r="H827" s="23">
        <f t="shared" si="48"/>
        <v>59</v>
      </c>
      <c r="I827" s="86" t="s">
        <v>1010</v>
      </c>
      <c r="J827" s="85"/>
      <c r="K827" s="85"/>
    </row>
    <row r="828" spans="1:11">
      <c r="A828" s="77" t="s">
        <v>266</v>
      </c>
      <c r="B828" s="84" t="s">
        <v>1005</v>
      </c>
      <c r="C828" s="205">
        <v>14</v>
      </c>
      <c r="D828" s="141" t="s">
        <v>1011</v>
      </c>
      <c r="E828" s="20">
        <v>0</v>
      </c>
      <c r="F828" s="220" t="s">
        <v>1012</v>
      </c>
      <c r="G828" s="221">
        <v>8</v>
      </c>
      <c r="H828" s="23">
        <f t="shared" si="48"/>
        <v>67</v>
      </c>
      <c r="I828" s="86" t="s">
        <v>1013</v>
      </c>
      <c r="J828" s="85"/>
      <c r="K828" s="85"/>
    </row>
    <row r="829" spans="1:11">
      <c r="A829" s="77" t="s">
        <v>266</v>
      </c>
      <c r="B829" s="84" t="s">
        <v>1005</v>
      </c>
      <c r="C829" s="206">
        <v>15</v>
      </c>
      <c r="D829" s="141" t="s">
        <v>1009</v>
      </c>
      <c r="E829" s="20">
        <v>0</v>
      </c>
      <c r="F829" s="220" t="s">
        <v>379</v>
      </c>
      <c r="G829" s="221">
        <v>1</v>
      </c>
      <c r="H829" s="23">
        <f t="shared" si="48"/>
        <v>68</v>
      </c>
      <c r="I829" s="86" t="s">
        <v>1014</v>
      </c>
      <c r="J829" s="85"/>
      <c r="K829" s="85"/>
    </row>
    <row r="830" spans="1:11">
      <c r="A830" s="77" t="s">
        <v>266</v>
      </c>
      <c r="B830" s="84" t="s">
        <v>1005</v>
      </c>
      <c r="C830" s="205">
        <v>16</v>
      </c>
      <c r="D830" s="141" t="s">
        <v>1011</v>
      </c>
      <c r="E830" s="20">
        <v>0</v>
      </c>
      <c r="F830" s="220" t="s">
        <v>1012</v>
      </c>
      <c r="G830" s="221">
        <v>8</v>
      </c>
      <c r="H830" s="23">
        <f t="shared" si="48"/>
        <v>76</v>
      </c>
      <c r="I830" s="86" t="s">
        <v>1013</v>
      </c>
      <c r="J830" s="85"/>
      <c r="K830" s="85"/>
    </row>
    <row r="831" spans="1:11">
      <c r="A831" s="77" t="s">
        <v>266</v>
      </c>
      <c r="B831" s="84" t="s">
        <v>1005</v>
      </c>
      <c r="C831" s="206">
        <v>17</v>
      </c>
      <c r="D831" s="141" t="s">
        <v>1009</v>
      </c>
      <c r="E831" s="20">
        <v>0</v>
      </c>
      <c r="F831" s="220" t="s">
        <v>379</v>
      </c>
      <c r="G831" s="221">
        <v>1</v>
      </c>
      <c r="H831" s="23">
        <f t="shared" si="48"/>
        <v>77</v>
      </c>
      <c r="I831" s="86" t="s">
        <v>1015</v>
      </c>
      <c r="J831" s="85"/>
      <c r="K831" s="85"/>
    </row>
    <row r="832" spans="1:11">
      <c r="A832" s="77" t="s">
        <v>266</v>
      </c>
      <c r="B832" s="84" t="s">
        <v>1005</v>
      </c>
      <c r="C832" s="205">
        <v>18</v>
      </c>
      <c r="D832" s="141" t="s">
        <v>1011</v>
      </c>
      <c r="E832" s="20">
        <v>0</v>
      </c>
      <c r="F832" s="220" t="s">
        <v>1012</v>
      </c>
      <c r="G832" s="221">
        <v>8</v>
      </c>
      <c r="H832" s="23">
        <f t="shared" si="48"/>
        <v>85</v>
      </c>
      <c r="I832" s="86" t="s">
        <v>1013</v>
      </c>
      <c r="J832" s="85"/>
      <c r="K832" s="85"/>
    </row>
    <row r="833" spans="1:11">
      <c r="A833" s="77" t="s">
        <v>266</v>
      </c>
      <c r="B833" s="84" t="s">
        <v>1005</v>
      </c>
      <c r="C833" s="206">
        <v>19</v>
      </c>
      <c r="D833" s="141" t="s">
        <v>1009</v>
      </c>
      <c r="E833" s="20">
        <v>0</v>
      </c>
      <c r="F833" s="220" t="s">
        <v>379</v>
      </c>
      <c r="G833" s="221">
        <v>1</v>
      </c>
      <c r="H833" s="23">
        <f t="shared" si="48"/>
        <v>86</v>
      </c>
      <c r="I833" s="86" t="s">
        <v>1016</v>
      </c>
      <c r="J833" s="85"/>
      <c r="K833" s="85"/>
    </row>
    <row r="834" spans="1:11">
      <c r="A834" s="77" t="s">
        <v>266</v>
      </c>
      <c r="B834" s="84" t="s">
        <v>1005</v>
      </c>
      <c r="C834" s="205">
        <v>20</v>
      </c>
      <c r="D834" s="141" t="s">
        <v>1011</v>
      </c>
      <c r="E834" s="20">
        <v>0</v>
      </c>
      <c r="F834" s="220" t="s">
        <v>1012</v>
      </c>
      <c r="G834" s="221">
        <v>8</v>
      </c>
      <c r="H834" s="23">
        <f t="shared" si="48"/>
        <v>94</v>
      </c>
      <c r="I834" s="86" t="s">
        <v>1013</v>
      </c>
      <c r="J834" s="85"/>
      <c r="K834" s="85"/>
    </row>
    <row r="835" spans="1:11">
      <c r="A835" s="77" t="s">
        <v>266</v>
      </c>
      <c r="B835" s="84" t="s">
        <v>1005</v>
      </c>
      <c r="C835" s="206">
        <v>21</v>
      </c>
      <c r="D835" s="141" t="s">
        <v>1009</v>
      </c>
      <c r="E835" s="20">
        <v>0</v>
      </c>
      <c r="F835" s="220" t="s">
        <v>379</v>
      </c>
      <c r="G835" s="221">
        <v>1</v>
      </c>
      <c r="H835" s="23">
        <f t="shared" si="48"/>
        <v>95</v>
      </c>
      <c r="I835" s="86" t="s">
        <v>1017</v>
      </c>
      <c r="J835" s="85"/>
      <c r="K835" s="85"/>
    </row>
    <row r="836" spans="1:11">
      <c r="A836" s="77" t="s">
        <v>266</v>
      </c>
      <c r="B836" s="84" t="s">
        <v>1005</v>
      </c>
      <c r="C836" s="205">
        <v>22</v>
      </c>
      <c r="D836" s="141" t="s">
        <v>1011</v>
      </c>
      <c r="E836" s="20">
        <v>0</v>
      </c>
      <c r="F836" s="220" t="s">
        <v>1012</v>
      </c>
      <c r="G836" s="221">
        <v>8</v>
      </c>
      <c r="H836" s="23">
        <f t="shared" si="48"/>
        <v>103</v>
      </c>
      <c r="I836" s="86" t="s">
        <v>1013</v>
      </c>
      <c r="J836" s="85"/>
      <c r="K836" s="85"/>
    </row>
    <row r="837" spans="1:11">
      <c r="A837" s="77" t="s">
        <v>266</v>
      </c>
      <c r="B837" s="84" t="s">
        <v>1005</v>
      </c>
      <c r="C837" s="206">
        <v>23</v>
      </c>
      <c r="D837" s="141" t="s">
        <v>1009</v>
      </c>
      <c r="E837" s="20">
        <v>0</v>
      </c>
      <c r="F837" s="220" t="s">
        <v>379</v>
      </c>
      <c r="G837" s="221">
        <v>1</v>
      </c>
      <c r="H837" s="23">
        <f t="shared" si="48"/>
        <v>104</v>
      </c>
      <c r="I837" s="86" t="s">
        <v>1018</v>
      </c>
      <c r="J837" s="85"/>
      <c r="K837" s="85"/>
    </row>
    <row r="838" spans="1:11">
      <c r="A838" s="77" t="s">
        <v>266</v>
      </c>
      <c r="B838" s="84" t="s">
        <v>1005</v>
      </c>
      <c r="C838" s="205">
        <v>24</v>
      </c>
      <c r="D838" s="141" t="s">
        <v>1011</v>
      </c>
      <c r="E838" s="20">
        <v>0</v>
      </c>
      <c r="F838" s="220" t="s">
        <v>1012</v>
      </c>
      <c r="G838" s="221">
        <v>8</v>
      </c>
      <c r="H838" s="23">
        <f t="shared" si="48"/>
        <v>112</v>
      </c>
      <c r="I838" s="86" t="s">
        <v>1013</v>
      </c>
      <c r="J838" s="85"/>
      <c r="K838" s="85"/>
    </row>
    <row r="839" spans="1:11">
      <c r="A839" s="77" t="s">
        <v>266</v>
      </c>
      <c r="B839" s="84" t="s">
        <v>1005</v>
      </c>
      <c r="C839" s="206">
        <v>25</v>
      </c>
      <c r="D839" s="141" t="s">
        <v>1009</v>
      </c>
      <c r="E839" s="20">
        <v>0</v>
      </c>
      <c r="F839" s="220" t="s">
        <v>379</v>
      </c>
      <c r="G839" s="221">
        <v>1</v>
      </c>
      <c r="H839" s="23">
        <f t="shared" si="48"/>
        <v>113</v>
      </c>
      <c r="I839" s="86" t="s">
        <v>1019</v>
      </c>
      <c r="J839" s="85"/>
      <c r="K839" s="85"/>
    </row>
    <row r="840" spans="1:11">
      <c r="A840" s="77" t="s">
        <v>266</v>
      </c>
      <c r="B840" s="84" t="s">
        <v>1005</v>
      </c>
      <c r="C840" s="205">
        <v>26</v>
      </c>
      <c r="D840" s="141" t="s">
        <v>1011</v>
      </c>
      <c r="E840" s="20">
        <v>0</v>
      </c>
      <c r="F840" s="220" t="s">
        <v>1012</v>
      </c>
      <c r="G840" s="221">
        <v>8</v>
      </c>
      <c r="H840" s="23">
        <f t="shared" si="48"/>
        <v>121</v>
      </c>
      <c r="I840" s="86" t="s">
        <v>1013</v>
      </c>
      <c r="J840" s="85"/>
      <c r="K840" s="85"/>
    </row>
    <row r="841" spans="1:11">
      <c r="A841" s="77" t="s">
        <v>266</v>
      </c>
      <c r="B841" s="84" t="s">
        <v>1005</v>
      </c>
      <c r="C841" s="206">
        <v>27</v>
      </c>
      <c r="D841" s="141" t="s">
        <v>1009</v>
      </c>
      <c r="E841" s="20">
        <v>0</v>
      </c>
      <c r="F841" s="220" t="s">
        <v>379</v>
      </c>
      <c r="G841" s="221">
        <v>1</v>
      </c>
      <c r="H841" s="23">
        <f t="shared" si="48"/>
        <v>122</v>
      </c>
      <c r="I841" s="86" t="s">
        <v>1020</v>
      </c>
      <c r="J841" s="85"/>
      <c r="K841" s="85"/>
    </row>
    <row r="842" spans="1:11">
      <c r="A842" s="77" t="s">
        <v>266</v>
      </c>
      <c r="B842" s="84" t="s">
        <v>1005</v>
      </c>
      <c r="C842" s="205">
        <v>28</v>
      </c>
      <c r="D842" s="141" t="s">
        <v>1011</v>
      </c>
      <c r="E842" s="20">
        <v>0</v>
      </c>
      <c r="F842" s="220" t="s">
        <v>1012</v>
      </c>
      <c r="G842" s="221">
        <v>8</v>
      </c>
      <c r="H842" s="23">
        <f t="shared" si="48"/>
        <v>130</v>
      </c>
      <c r="I842" s="86" t="s">
        <v>1013</v>
      </c>
      <c r="J842" s="85"/>
      <c r="K842" s="85"/>
    </row>
    <row r="843" spans="1:11">
      <c r="A843" s="77" t="s">
        <v>266</v>
      </c>
      <c r="B843" s="84" t="s">
        <v>1005</v>
      </c>
      <c r="C843" s="206">
        <v>29</v>
      </c>
      <c r="D843" s="138" t="s">
        <v>1021</v>
      </c>
      <c r="E843" s="135">
        <v>0</v>
      </c>
      <c r="F843" s="211" t="s">
        <v>291</v>
      </c>
      <c r="G843" s="4">
        <v>249</v>
      </c>
      <c r="H843" s="23">
        <f t="shared" si="48"/>
        <v>379</v>
      </c>
      <c r="I843" s="86"/>
      <c r="J843" s="85"/>
      <c r="K843" s="85"/>
    </row>
    <row r="844" spans="1:11">
      <c r="A844" s="77" t="s">
        <v>266</v>
      </c>
      <c r="B844" s="139" t="s">
        <v>1005</v>
      </c>
      <c r="C844" s="149">
        <v>30</v>
      </c>
      <c r="D844" s="139" t="s">
        <v>298</v>
      </c>
      <c r="E844" s="136">
        <v>0</v>
      </c>
      <c r="F844" s="215" t="s">
        <v>291</v>
      </c>
      <c r="G844" s="134">
        <v>1</v>
      </c>
      <c r="H844" s="74">
        <f t="shared" si="48"/>
        <v>380</v>
      </c>
      <c r="I844" s="74"/>
      <c r="J844" s="74"/>
      <c r="K844" s="74"/>
    </row>
    <row r="845" spans="1:11">
      <c r="A845" s="77" t="s">
        <v>268</v>
      </c>
      <c r="B845" s="141" t="s">
        <v>1022</v>
      </c>
      <c r="C845" s="205">
        <v>1</v>
      </c>
      <c r="D845" s="138" t="s">
        <v>290</v>
      </c>
      <c r="E845" s="137">
        <v>0</v>
      </c>
      <c r="F845" s="210" t="s">
        <v>291</v>
      </c>
      <c r="G845" s="133">
        <v>2</v>
      </c>
      <c r="H845" s="76">
        <v>2</v>
      </c>
      <c r="I845" s="75" t="s">
        <v>923</v>
      </c>
      <c r="J845" s="85"/>
      <c r="K845" s="85"/>
    </row>
    <row r="846" spans="1:11">
      <c r="A846" s="188" t="s">
        <v>268</v>
      </c>
      <c r="B846" s="222" t="s">
        <v>1022</v>
      </c>
      <c r="C846" s="223">
        <v>2</v>
      </c>
      <c r="D846" s="184" t="s">
        <v>302</v>
      </c>
      <c r="E846" s="196">
        <v>0</v>
      </c>
      <c r="F846" s="214" t="s">
        <v>291</v>
      </c>
      <c r="G846" s="198">
        <v>3</v>
      </c>
      <c r="H846" s="186">
        <f t="shared" ref="H846:H870" si="49">H845+G846</f>
        <v>5</v>
      </c>
      <c r="I846" s="187" t="s">
        <v>503</v>
      </c>
      <c r="J846" s="85"/>
      <c r="K846" s="85"/>
    </row>
    <row r="847" spans="1:11">
      <c r="A847" s="77" t="s">
        <v>268</v>
      </c>
      <c r="B847" s="141" t="s">
        <v>1023</v>
      </c>
      <c r="C847" s="205">
        <v>3</v>
      </c>
      <c r="D847" s="138" t="s">
        <v>925</v>
      </c>
      <c r="E847" s="135">
        <v>0</v>
      </c>
      <c r="F847" s="211" t="s">
        <v>291</v>
      </c>
      <c r="G847" s="4">
        <v>4</v>
      </c>
      <c r="H847" s="23">
        <f t="shared" si="49"/>
        <v>9</v>
      </c>
      <c r="I847" s="22" t="s">
        <v>926</v>
      </c>
      <c r="J847" s="85"/>
      <c r="K847" s="85"/>
    </row>
    <row r="848" spans="1:11">
      <c r="A848" s="77" t="s">
        <v>268</v>
      </c>
      <c r="B848" s="141" t="s">
        <v>1023</v>
      </c>
      <c r="C848" s="205">
        <v>4</v>
      </c>
      <c r="D848" s="138" t="s">
        <v>927</v>
      </c>
      <c r="E848" s="135">
        <v>0</v>
      </c>
      <c r="F848" s="216" t="s">
        <v>307</v>
      </c>
      <c r="G848" s="4">
        <v>6</v>
      </c>
      <c r="H848" s="23">
        <f t="shared" si="49"/>
        <v>15</v>
      </c>
      <c r="I848" s="22" t="s">
        <v>380</v>
      </c>
      <c r="J848" s="85"/>
      <c r="K848" s="85"/>
    </row>
    <row r="849" spans="1:11">
      <c r="A849" s="77" t="s">
        <v>268</v>
      </c>
      <c r="B849" s="141" t="s">
        <v>1023</v>
      </c>
      <c r="C849" s="205">
        <v>5</v>
      </c>
      <c r="D849" s="138" t="s">
        <v>928</v>
      </c>
      <c r="E849" s="135">
        <v>0</v>
      </c>
      <c r="F849" s="211" t="s">
        <v>291</v>
      </c>
      <c r="G849" s="4">
        <v>2</v>
      </c>
      <c r="H849" s="23">
        <f t="shared" si="49"/>
        <v>17</v>
      </c>
      <c r="I849" s="22" t="s">
        <v>929</v>
      </c>
      <c r="J849" s="85"/>
      <c r="K849" s="85"/>
    </row>
    <row r="850" spans="1:11">
      <c r="A850" s="77" t="s">
        <v>268</v>
      </c>
      <c r="B850" s="141" t="s">
        <v>1023</v>
      </c>
      <c r="C850" s="205">
        <v>6</v>
      </c>
      <c r="D850" s="138" t="s">
        <v>306</v>
      </c>
      <c r="E850" s="135">
        <v>0</v>
      </c>
      <c r="F850" s="216" t="s">
        <v>307</v>
      </c>
      <c r="G850" s="4">
        <v>6</v>
      </c>
      <c r="H850" s="23">
        <f t="shared" si="49"/>
        <v>23</v>
      </c>
      <c r="I850" s="22" t="s">
        <v>380</v>
      </c>
      <c r="J850" s="85"/>
      <c r="K850" s="85"/>
    </row>
    <row r="851" spans="1:11">
      <c r="A851" s="77" t="s">
        <v>268</v>
      </c>
      <c r="B851" s="141" t="s">
        <v>1023</v>
      </c>
      <c r="C851" s="205">
        <v>7</v>
      </c>
      <c r="D851" s="138" t="s">
        <v>930</v>
      </c>
      <c r="E851" s="135">
        <v>0</v>
      </c>
      <c r="F851" s="211" t="s">
        <v>291</v>
      </c>
      <c r="G851" s="4">
        <v>14</v>
      </c>
      <c r="H851" s="23">
        <f t="shared" si="49"/>
        <v>37</v>
      </c>
      <c r="I851" s="22" t="s">
        <v>931</v>
      </c>
      <c r="J851" s="85"/>
      <c r="K851" s="85"/>
    </row>
    <row r="852" spans="1:11">
      <c r="A852" s="77" t="s">
        <v>268</v>
      </c>
      <c r="B852" s="141" t="s">
        <v>1023</v>
      </c>
      <c r="C852" s="205">
        <v>8</v>
      </c>
      <c r="D852" s="138" t="s">
        <v>932</v>
      </c>
      <c r="E852" s="135">
        <v>0</v>
      </c>
      <c r="F852" s="211" t="s">
        <v>291</v>
      </c>
      <c r="G852" s="4">
        <v>3</v>
      </c>
      <c r="H852" s="23">
        <f t="shared" si="49"/>
        <v>40</v>
      </c>
      <c r="I852" s="22" t="s">
        <v>1024</v>
      </c>
      <c r="J852" s="85"/>
      <c r="K852" s="85"/>
    </row>
    <row r="853" spans="1:11">
      <c r="A853" s="77" t="s">
        <v>268</v>
      </c>
      <c r="B853" s="141" t="s">
        <v>1023</v>
      </c>
      <c r="C853" s="205">
        <v>9</v>
      </c>
      <c r="D853" s="138" t="s">
        <v>934</v>
      </c>
      <c r="E853" s="135">
        <v>0</v>
      </c>
      <c r="F853" s="211" t="s">
        <v>291</v>
      </c>
      <c r="G853" s="4">
        <v>2</v>
      </c>
      <c r="H853" s="23">
        <f t="shared" si="49"/>
        <v>42</v>
      </c>
      <c r="I853" s="22" t="s">
        <v>935</v>
      </c>
      <c r="J853" s="85"/>
      <c r="K853" s="85"/>
    </row>
    <row r="854" spans="1:11" ht="22.5">
      <c r="A854" s="77" t="s">
        <v>268</v>
      </c>
      <c r="B854" s="141" t="s">
        <v>1023</v>
      </c>
      <c r="C854" s="205">
        <v>10</v>
      </c>
      <c r="D854" s="138" t="s">
        <v>936</v>
      </c>
      <c r="E854" s="135">
        <v>0</v>
      </c>
      <c r="F854" s="216" t="s">
        <v>307</v>
      </c>
      <c r="G854" s="4">
        <v>6</v>
      </c>
      <c r="H854" s="23">
        <f t="shared" si="49"/>
        <v>48</v>
      </c>
      <c r="I854" s="22" t="s">
        <v>1025</v>
      </c>
      <c r="J854" s="85"/>
      <c r="K854" s="85"/>
    </row>
    <row r="855" spans="1:11">
      <c r="A855" s="77" t="s">
        <v>268</v>
      </c>
      <c r="B855" s="141" t="s">
        <v>1023</v>
      </c>
      <c r="C855" s="205">
        <v>11</v>
      </c>
      <c r="D855" s="138" t="s">
        <v>903</v>
      </c>
      <c r="E855" s="135">
        <v>0</v>
      </c>
      <c r="F855" s="211" t="s">
        <v>291</v>
      </c>
      <c r="G855" s="4">
        <v>8</v>
      </c>
      <c r="H855" s="23">
        <f t="shared" si="49"/>
        <v>56</v>
      </c>
      <c r="I855" s="22" t="s">
        <v>310</v>
      </c>
      <c r="J855" s="85"/>
      <c r="K855" s="85"/>
    </row>
    <row r="856" spans="1:11">
      <c r="A856" s="77" t="s">
        <v>268</v>
      </c>
      <c r="B856" s="141" t="s">
        <v>1023</v>
      </c>
      <c r="C856" s="205">
        <v>12</v>
      </c>
      <c r="D856" s="141" t="s">
        <v>1026</v>
      </c>
      <c r="E856" s="20">
        <v>0</v>
      </c>
      <c r="F856" s="220" t="s">
        <v>379</v>
      </c>
      <c r="G856" s="221">
        <v>6</v>
      </c>
      <c r="H856" s="23">
        <f t="shared" si="49"/>
        <v>62</v>
      </c>
      <c r="I856" s="86" t="s">
        <v>1027</v>
      </c>
      <c r="J856" s="85"/>
      <c r="K856" s="85"/>
    </row>
    <row r="857" spans="1:11">
      <c r="A857" s="77" t="s">
        <v>268</v>
      </c>
      <c r="B857" s="141" t="s">
        <v>1023</v>
      </c>
      <c r="C857" s="205">
        <v>13</v>
      </c>
      <c r="D857" s="141" t="s">
        <v>1028</v>
      </c>
      <c r="E857" s="20">
        <v>0</v>
      </c>
      <c r="F857" s="220" t="s">
        <v>1012</v>
      </c>
      <c r="G857" s="221">
        <v>10</v>
      </c>
      <c r="H857" s="23">
        <f t="shared" si="49"/>
        <v>72</v>
      </c>
      <c r="I857" s="86" t="s">
        <v>1029</v>
      </c>
      <c r="J857" s="85"/>
      <c r="K857" s="85"/>
    </row>
    <row r="858" spans="1:11">
      <c r="A858" s="77" t="s">
        <v>268</v>
      </c>
      <c r="B858" s="141" t="s">
        <v>1023</v>
      </c>
      <c r="C858" s="205">
        <v>14</v>
      </c>
      <c r="D858" s="141" t="s">
        <v>1030</v>
      </c>
      <c r="E858" s="20">
        <v>0</v>
      </c>
      <c r="F858" s="220" t="s">
        <v>1012</v>
      </c>
      <c r="G858" s="221">
        <v>1</v>
      </c>
      <c r="H858" s="23">
        <f t="shared" si="49"/>
        <v>73</v>
      </c>
      <c r="I858" s="86" t="s">
        <v>1031</v>
      </c>
      <c r="J858" s="85"/>
      <c r="K858" s="85"/>
    </row>
    <row r="859" spans="1:11">
      <c r="A859" s="77" t="s">
        <v>268</v>
      </c>
      <c r="B859" s="141" t="s">
        <v>1023</v>
      </c>
      <c r="C859" s="205">
        <v>15</v>
      </c>
      <c r="D859" s="141" t="s">
        <v>1032</v>
      </c>
      <c r="E859" s="20">
        <v>0</v>
      </c>
      <c r="F859" s="220" t="s">
        <v>1012</v>
      </c>
      <c r="G859" s="221">
        <v>4</v>
      </c>
      <c r="H859" s="23">
        <f t="shared" si="49"/>
        <v>77</v>
      </c>
      <c r="I859" s="86" t="s">
        <v>1033</v>
      </c>
      <c r="J859" s="85"/>
      <c r="K859" s="85"/>
    </row>
    <row r="860" spans="1:11">
      <c r="A860" s="77" t="s">
        <v>268</v>
      </c>
      <c r="B860" s="141" t="s">
        <v>1023</v>
      </c>
      <c r="C860" s="205">
        <v>16</v>
      </c>
      <c r="D860" s="141" t="s">
        <v>1034</v>
      </c>
      <c r="E860" s="20">
        <v>0</v>
      </c>
      <c r="F860" s="220" t="s">
        <v>1012</v>
      </c>
      <c r="G860" s="221">
        <v>4</v>
      </c>
      <c r="H860" s="23">
        <f t="shared" si="49"/>
        <v>81</v>
      </c>
      <c r="I860" s="86" t="s">
        <v>1033</v>
      </c>
      <c r="J860" s="85"/>
      <c r="K860" s="85"/>
    </row>
    <row r="861" spans="1:11">
      <c r="A861" s="77" t="s">
        <v>268</v>
      </c>
      <c r="B861" s="141" t="s">
        <v>1023</v>
      </c>
      <c r="C861" s="205">
        <v>17</v>
      </c>
      <c r="D861" s="141" t="s">
        <v>403</v>
      </c>
      <c r="E861" s="20">
        <v>0</v>
      </c>
      <c r="F861" s="220" t="s">
        <v>1012</v>
      </c>
      <c r="G861" s="221">
        <v>12</v>
      </c>
      <c r="H861" s="23">
        <f t="shared" si="49"/>
        <v>93</v>
      </c>
      <c r="I861" s="86" t="s">
        <v>1035</v>
      </c>
      <c r="J861" s="85"/>
      <c r="K861" s="85"/>
    </row>
    <row r="862" spans="1:11">
      <c r="A862" s="77" t="s">
        <v>268</v>
      </c>
      <c r="B862" s="141" t="s">
        <v>1023</v>
      </c>
      <c r="C862" s="205">
        <v>18</v>
      </c>
      <c r="D862" s="141" t="s">
        <v>1036</v>
      </c>
      <c r="E862" s="20">
        <v>0</v>
      </c>
      <c r="F862" s="220" t="s">
        <v>379</v>
      </c>
      <c r="G862" s="221">
        <v>15</v>
      </c>
      <c r="H862" s="23">
        <f t="shared" si="49"/>
        <v>108</v>
      </c>
      <c r="I862" s="86"/>
      <c r="J862" s="85"/>
      <c r="K862" s="85"/>
    </row>
    <row r="863" spans="1:11">
      <c r="A863" s="77" t="s">
        <v>268</v>
      </c>
      <c r="B863" s="141" t="s">
        <v>1023</v>
      </c>
      <c r="C863" s="205">
        <v>19</v>
      </c>
      <c r="D863" s="141" t="s">
        <v>1037</v>
      </c>
      <c r="E863" s="20">
        <v>3</v>
      </c>
      <c r="F863" s="220" t="s">
        <v>422</v>
      </c>
      <c r="G863" s="221">
        <v>5</v>
      </c>
      <c r="H863" s="23">
        <f t="shared" si="49"/>
        <v>113</v>
      </c>
      <c r="I863" s="86" t="s">
        <v>1038</v>
      </c>
      <c r="J863" s="85"/>
      <c r="K863" s="85"/>
    </row>
    <row r="864" spans="1:11">
      <c r="A864" s="77" t="s">
        <v>268</v>
      </c>
      <c r="B864" s="141" t="s">
        <v>1023</v>
      </c>
      <c r="C864" s="205">
        <v>20</v>
      </c>
      <c r="D864" s="141" t="s">
        <v>1039</v>
      </c>
      <c r="E864" s="20">
        <v>0</v>
      </c>
      <c r="F864" s="220" t="s">
        <v>379</v>
      </c>
      <c r="G864" s="221">
        <v>7</v>
      </c>
      <c r="H864" s="23">
        <f t="shared" si="49"/>
        <v>120</v>
      </c>
      <c r="I864" s="86">
        <v>9999999</v>
      </c>
      <c r="J864" s="85"/>
      <c r="K864" s="85"/>
    </row>
    <row r="865" spans="1:11">
      <c r="A865" s="77" t="s">
        <v>268</v>
      </c>
      <c r="B865" s="141" t="s">
        <v>1023</v>
      </c>
      <c r="C865" s="205">
        <v>21</v>
      </c>
      <c r="D865" s="141" t="s">
        <v>1040</v>
      </c>
      <c r="E865" s="20">
        <v>0</v>
      </c>
      <c r="F865" s="220" t="s">
        <v>379</v>
      </c>
      <c r="G865" s="221">
        <v>18</v>
      </c>
      <c r="H865" s="23">
        <f t="shared" si="49"/>
        <v>138</v>
      </c>
      <c r="I865" s="86"/>
      <c r="J865" s="85"/>
      <c r="K865" s="85"/>
    </row>
    <row r="866" spans="1:11">
      <c r="A866" s="77" t="s">
        <v>268</v>
      </c>
      <c r="B866" s="141" t="s">
        <v>1023</v>
      </c>
      <c r="C866" s="205">
        <v>22</v>
      </c>
      <c r="D866" s="141" t="s">
        <v>1009</v>
      </c>
      <c r="E866" s="20">
        <v>0</v>
      </c>
      <c r="F866" s="220" t="s">
        <v>1012</v>
      </c>
      <c r="G866" s="221">
        <v>1</v>
      </c>
      <c r="H866" s="23">
        <f t="shared" si="49"/>
        <v>139</v>
      </c>
      <c r="I866" s="86" t="s">
        <v>1041</v>
      </c>
      <c r="J866" s="85"/>
      <c r="K866" s="85"/>
    </row>
    <row r="867" spans="1:11">
      <c r="A867" s="77" t="s">
        <v>268</v>
      </c>
      <c r="B867" s="141" t="s">
        <v>1023</v>
      </c>
      <c r="C867" s="205">
        <v>23</v>
      </c>
      <c r="D867" s="141" t="s">
        <v>1011</v>
      </c>
      <c r="E867" s="20">
        <v>0</v>
      </c>
      <c r="F867" s="220" t="s">
        <v>1012</v>
      </c>
      <c r="G867" s="221">
        <v>8</v>
      </c>
      <c r="H867" s="23">
        <f t="shared" si="49"/>
        <v>147</v>
      </c>
      <c r="I867" s="86" t="s">
        <v>1013</v>
      </c>
      <c r="J867" s="85"/>
      <c r="K867" s="85"/>
    </row>
    <row r="868" spans="1:11">
      <c r="A868" s="77" t="s">
        <v>268</v>
      </c>
      <c r="B868" s="141" t="s">
        <v>1023</v>
      </c>
      <c r="C868" s="205">
        <v>24</v>
      </c>
      <c r="D868" s="141" t="s">
        <v>1042</v>
      </c>
      <c r="E868" s="20">
        <v>3</v>
      </c>
      <c r="F868" s="220" t="s">
        <v>422</v>
      </c>
      <c r="G868" s="221">
        <v>5</v>
      </c>
      <c r="H868" s="23">
        <f t="shared" si="49"/>
        <v>152</v>
      </c>
      <c r="I868" s="86" t="s">
        <v>1038</v>
      </c>
      <c r="J868" s="85"/>
      <c r="K868" s="85"/>
    </row>
    <row r="869" spans="1:11">
      <c r="A869" s="77" t="s">
        <v>268</v>
      </c>
      <c r="B869" s="141" t="s">
        <v>1023</v>
      </c>
      <c r="C869" s="205">
        <v>25</v>
      </c>
      <c r="D869" s="141" t="s">
        <v>1043</v>
      </c>
      <c r="E869" s="20">
        <v>0</v>
      </c>
      <c r="F869" s="220" t="s">
        <v>379</v>
      </c>
      <c r="G869" s="221">
        <v>7</v>
      </c>
      <c r="H869" s="23">
        <f t="shared" si="49"/>
        <v>159</v>
      </c>
      <c r="I869" s="86">
        <v>9999999</v>
      </c>
      <c r="J869" s="85"/>
      <c r="K869" s="85"/>
    </row>
    <row r="870" spans="1:11">
      <c r="A870" s="77" t="s">
        <v>268</v>
      </c>
      <c r="B870" s="141" t="s">
        <v>1023</v>
      </c>
      <c r="C870" s="205">
        <v>26</v>
      </c>
      <c r="D870" s="141" t="s">
        <v>1044</v>
      </c>
      <c r="E870" s="20">
        <v>0</v>
      </c>
      <c r="F870" s="220" t="s">
        <v>1012</v>
      </c>
      <c r="G870" s="221">
        <v>200</v>
      </c>
      <c r="H870" s="23">
        <f t="shared" si="49"/>
        <v>359</v>
      </c>
      <c r="I870" s="86"/>
      <c r="J870" s="85"/>
      <c r="K870" s="85"/>
    </row>
    <row r="871" spans="1:11">
      <c r="A871" s="77" t="s">
        <v>268</v>
      </c>
      <c r="B871" s="139" t="s">
        <v>1022</v>
      </c>
      <c r="C871" s="149">
        <v>27</v>
      </c>
      <c r="D871" s="139" t="s">
        <v>298</v>
      </c>
      <c r="E871" s="136">
        <v>0</v>
      </c>
      <c r="F871" s="215" t="s">
        <v>291</v>
      </c>
      <c r="G871" s="134">
        <v>1</v>
      </c>
      <c r="H871" s="74">
        <f t="shared" ref="H871" si="50">H870+G871</f>
        <v>360</v>
      </c>
      <c r="I871" s="74"/>
      <c r="J871" s="74"/>
      <c r="K871" s="74"/>
    </row>
    <row r="872" spans="1:11">
      <c r="A872" s="77" t="s">
        <v>270</v>
      </c>
      <c r="B872" s="141" t="s">
        <v>1045</v>
      </c>
      <c r="C872" s="205">
        <v>1</v>
      </c>
      <c r="D872" s="138" t="s">
        <v>290</v>
      </c>
      <c r="E872" s="137">
        <v>0</v>
      </c>
      <c r="F872" s="210" t="s">
        <v>291</v>
      </c>
      <c r="G872" s="133">
        <v>2</v>
      </c>
      <c r="H872" s="76">
        <v>2</v>
      </c>
      <c r="I872" s="75" t="s">
        <v>923</v>
      </c>
      <c r="J872" s="85"/>
      <c r="K872" s="85"/>
    </row>
    <row r="873" spans="1:11">
      <c r="A873" s="188" t="s">
        <v>270</v>
      </c>
      <c r="B873" s="222" t="s">
        <v>1045</v>
      </c>
      <c r="C873" s="223">
        <v>2</v>
      </c>
      <c r="D873" s="184" t="s">
        <v>302</v>
      </c>
      <c r="E873" s="196">
        <v>0</v>
      </c>
      <c r="F873" s="214" t="s">
        <v>291</v>
      </c>
      <c r="G873" s="198">
        <v>3</v>
      </c>
      <c r="H873" s="186">
        <f t="shared" ref="H873:H882" si="51">H872+G873</f>
        <v>5</v>
      </c>
      <c r="I873" s="187" t="s">
        <v>503</v>
      </c>
      <c r="J873" s="85"/>
      <c r="K873" s="85"/>
    </row>
    <row r="874" spans="1:11">
      <c r="A874" s="77" t="s">
        <v>270</v>
      </c>
      <c r="B874" s="141" t="s">
        <v>1045</v>
      </c>
      <c r="C874" s="205">
        <v>3</v>
      </c>
      <c r="D874" s="138" t="s">
        <v>925</v>
      </c>
      <c r="E874" s="135">
        <v>0</v>
      </c>
      <c r="F874" s="211" t="s">
        <v>291</v>
      </c>
      <c r="G874" s="4">
        <v>4</v>
      </c>
      <c r="H874" s="23">
        <f t="shared" si="51"/>
        <v>9</v>
      </c>
      <c r="I874" s="22" t="s">
        <v>926</v>
      </c>
      <c r="J874" s="85"/>
      <c r="K874" s="85"/>
    </row>
    <row r="875" spans="1:11">
      <c r="A875" s="77" t="s">
        <v>270</v>
      </c>
      <c r="B875" s="141" t="s">
        <v>1045</v>
      </c>
      <c r="C875" s="205">
        <v>4</v>
      </c>
      <c r="D875" s="138" t="s">
        <v>927</v>
      </c>
      <c r="E875" s="135">
        <v>0</v>
      </c>
      <c r="F875" s="216" t="s">
        <v>307</v>
      </c>
      <c r="G875" s="4">
        <v>6</v>
      </c>
      <c r="H875" s="23">
        <f t="shared" si="51"/>
        <v>15</v>
      </c>
      <c r="I875" s="22" t="s">
        <v>380</v>
      </c>
      <c r="J875" s="85"/>
      <c r="K875" s="85"/>
    </row>
    <row r="876" spans="1:11">
      <c r="A876" s="77" t="s">
        <v>270</v>
      </c>
      <c r="B876" s="141" t="s">
        <v>1045</v>
      </c>
      <c r="C876" s="205">
        <v>5</v>
      </c>
      <c r="D876" s="138" t="s">
        <v>928</v>
      </c>
      <c r="E876" s="135">
        <v>0</v>
      </c>
      <c r="F876" s="211" t="s">
        <v>291</v>
      </c>
      <c r="G876" s="4">
        <v>2</v>
      </c>
      <c r="H876" s="23">
        <f t="shared" si="51"/>
        <v>17</v>
      </c>
      <c r="I876" s="22" t="s">
        <v>929</v>
      </c>
      <c r="J876" s="85"/>
      <c r="K876" s="85"/>
    </row>
    <row r="877" spans="1:11">
      <c r="A877" s="77" t="s">
        <v>270</v>
      </c>
      <c r="B877" s="141" t="s">
        <v>1045</v>
      </c>
      <c r="C877" s="205">
        <v>6</v>
      </c>
      <c r="D877" s="138" t="s">
        <v>306</v>
      </c>
      <c r="E877" s="135">
        <v>0</v>
      </c>
      <c r="F877" s="216" t="s">
        <v>307</v>
      </c>
      <c r="G877" s="4">
        <v>6</v>
      </c>
      <c r="H877" s="23">
        <f t="shared" si="51"/>
        <v>23</v>
      </c>
      <c r="I877" s="22" t="s">
        <v>380</v>
      </c>
      <c r="J877" s="85"/>
      <c r="K877" s="85"/>
    </row>
    <row r="878" spans="1:11">
      <c r="A878" s="77" t="s">
        <v>270</v>
      </c>
      <c r="B878" s="141" t="s">
        <v>1045</v>
      </c>
      <c r="C878" s="205">
        <v>7</v>
      </c>
      <c r="D878" s="138" t="s">
        <v>930</v>
      </c>
      <c r="E878" s="135">
        <v>0</v>
      </c>
      <c r="F878" s="211" t="s">
        <v>291</v>
      </c>
      <c r="G878" s="4">
        <v>14</v>
      </c>
      <c r="H878" s="23">
        <f t="shared" si="51"/>
        <v>37</v>
      </c>
      <c r="I878" s="22" t="s">
        <v>931</v>
      </c>
      <c r="J878" s="85"/>
      <c r="K878" s="85"/>
    </row>
    <row r="879" spans="1:11">
      <c r="A879" s="77" t="s">
        <v>270</v>
      </c>
      <c r="B879" s="141" t="s">
        <v>1045</v>
      </c>
      <c r="C879" s="205">
        <v>8</v>
      </c>
      <c r="D879" s="138" t="s">
        <v>932</v>
      </c>
      <c r="E879" s="135">
        <v>0</v>
      </c>
      <c r="F879" s="211" t="s">
        <v>291</v>
      </c>
      <c r="G879" s="4">
        <v>3</v>
      </c>
      <c r="H879" s="23">
        <f t="shared" si="51"/>
        <v>40</v>
      </c>
      <c r="I879" s="22" t="s">
        <v>1046</v>
      </c>
      <c r="J879" s="85"/>
      <c r="K879" s="85"/>
    </row>
    <row r="880" spans="1:11">
      <c r="A880" s="77" t="s">
        <v>270</v>
      </c>
      <c r="B880" s="141" t="s">
        <v>1045</v>
      </c>
      <c r="C880" s="205">
        <v>9</v>
      </c>
      <c r="D880" s="138" t="s">
        <v>934</v>
      </c>
      <c r="E880" s="135">
        <v>0</v>
      </c>
      <c r="F880" s="211" t="s">
        <v>291</v>
      </c>
      <c r="G880" s="4">
        <v>2</v>
      </c>
      <c r="H880" s="23">
        <f t="shared" si="51"/>
        <v>42</v>
      </c>
      <c r="I880" s="22" t="s">
        <v>935</v>
      </c>
      <c r="J880" s="85"/>
      <c r="K880" s="85"/>
    </row>
    <row r="881" spans="1:11" ht="22.5">
      <c r="A881" s="77" t="s">
        <v>270</v>
      </c>
      <c r="B881" s="141" t="s">
        <v>1045</v>
      </c>
      <c r="C881" s="205">
        <v>10</v>
      </c>
      <c r="D881" s="138" t="s">
        <v>936</v>
      </c>
      <c r="E881" s="135">
        <v>0</v>
      </c>
      <c r="F881" s="216" t="s">
        <v>307</v>
      </c>
      <c r="G881" s="4">
        <v>6</v>
      </c>
      <c r="H881" s="23">
        <f t="shared" si="51"/>
        <v>48</v>
      </c>
      <c r="I881" s="22" t="s">
        <v>1025</v>
      </c>
      <c r="J881" s="85"/>
      <c r="K881" s="85"/>
    </row>
    <row r="882" spans="1:11">
      <c r="A882" s="77" t="s">
        <v>270</v>
      </c>
      <c r="B882" s="141" t="s">
        <v>1045</v>
      </c>
      <c r="C882" s="205">
        <v>11</v>
      </c>
      <c r="D882" s="141" t="s">
        <v>1044</v>
      </c>
      <c r="E882" s="20">
        <v>0</v>
      </c>
      <c r="F882" s="220" t="s">
        <v>1012</v>
      </c>
      <c r="G882" s="221">
        <v>311</v>
      </c>
      <c r="H882" s="23">
        <f t="shared" si="51"/>
        <v>359</v>
      </c>
      <c r="I882" s="85"/>
      <c r="J882" s="85"/>
      <c r="K882" s="85"/>
    </row>
    <row r="883" spans="1:11">
      <c r="A883" s="77" t="s">
        <v>270</v>
      </c>
      <c r="B883" s="139" t="s">
        <v>1045</v>
      </c>
      <c r="C883" s="149">
        <v>12</v>
      </c>
      <c r="D883" s="139" t="s">
        <v>298</v>
      </c>
      <c r="E883" s="136">
        <v>0</v>
      </c>
      <c r="F883" s="215" t="s">
        <v>291</v>
      </c>
      <c r="G883" s="134">
        <v>1</v>
      </c>
      <c r="H883" s="74">
        <f>H882+G883</f>
        <v>360</v>
      </c>
      <c r="I883" s="74"/>
      <c r="J883" s="74"/>
      <c r="K883" s="74"/>
    </row>
    <row r="884" spans="1:11">
      <c r="A884" s="77" t="s">
        <v>272</v>
      </c>
      <c r="B884" s="141" t="s">
        <v>1047</v>
      </c>
      <c r="C884" s="205">
        <v>1</v>
      </c>
      <c r="D884" s="138" t="s">
        <v>290</v>
      </c>
      <c r="E884" s="137">
        <v>0</v>
      </c>
      <c r="F884" s="210" t="s">
        <v>291</v>
      </c>
      <c r="G884" s="133">
        <v>2</v>
      </c>
      <c r="H884" s="76">
        <v>2</v>
      </c>
      <c r="I884" s="75" t="s">
        <v>923</v>
      </c>
      <c r="J884" s="85"/>
      <c r="K884" s="85"/>
    </row>
    <row r="885" spans="1:11">
      <c r="A885" s="188" t="s">
        <v>272</v>
      </c>
      <c r="B885" s="222" t="s">
        <v>1047</v>
      </c>
      <c r="C885" s="223">
        <v>2</v>
      </c>
      <c r="D885" s="184" t="s">
        <v>302</v>
      </c>
      <c r="E885" s="196">
        <v>0</v>
      </c>
      <c r="F885" s="214" t="s">
        <v>291</v>
      </c>
      <c r="G885" s="198">
        <v>3</v>
      </c>
      <c r="H885" s="186">
        <f t="shared" ref="H885:H895" si="52">H884+G885</f>
        <v>5</v>
      </c>
      <c r="I885" s="187" t="s">
        <v>503</v>
      </c>
      <c r="J885" s="85"/>
      <c r="K885" s="85"/>
    </row>
    <row r="886" spans="1:11">
      <c r="A886" s="77" t="s">
        <v>272</v>
      </c>
      <c r="B886" s="141" t="s">
        <v>1047</v>
      </c>
      <c r="C886" s="205">
        <v>3</v>
      </c>
      <c r="D886" s="138" t="s">
        <v>925</v>
      </c>
      <c r="E886" s="135">
        <v>0</v>
      </c>
      <c r="F886" s="211" t="s">
        <v>291</v>
      </c>
      <c r="G886" s="4">
        <v>4</v>
      </c>
      <c r="H886" s="23">
        <f t="shared" si="52"/>
        <v>9</v>
      </c>
      <c r="I886" s="22" t="s">
        <v>926</v>
      </c>
      <c r="J886" s="85"/>
      <c r="K886" s="85"/>
    </row>
    <row r="887" spans="1:11">
      <c r="A887" s="77" t="s">
        <v>272</v>
      </c>
      <c r="B887" s="141" t="s">
        <v>1047</v>
      </c>
      <c r="C887" s="205">
        <v>4</v>
      </c>
      <c r="D887" s="138" t="s">
        <v>927</v>
      </c>
      <c r="E887" s="135">
        <v>0</v>
      </c>
      <c r="F887" s="216" t="s">
        <v>307</v>
      </c>
      <c r="G887" s="4">
        <v>6</v>
      </c>
      <c r="H887" s="23">
        <f t="shared" si="52"/>
        <v>15</v>
      </c>
      <c r="I887" s="22" t="s">
        <v>380</v>
      </c>
      <c r="J887" s="85"/>
      <c r="K887" s="85"/>
    </row>
    <row r="888" spans="1:11">
      <c r="A888" s="77" t="s">
        <v>272</v>
      </c>
      <c r="B888" s="141" t="s">
        <v>1047</v>
      </c>
      <c r="C888" s="205">
        <v>5</v>
      </c>
      <c r="D888" s="138" t="s">
        <v>928</v>
      </c>
      <c r="E888" s="135">
        <v>0</v>
      </c>
      <c r="F888" s="211" t="s">
        <v>291</v>
      </c>
      <c r="G888" s="4">
        <v>2</v>
      </c>
      <c r="H888" s="23">
        <f t="shared" si="52"/>
        <v>17</v>
      </c>
      <c r="I888" s="22" t="s">
        <v>929</v>
      </c>
      <c r="J888" s="85"/>
      <c r="K888" s="85"/>
    </row>
    <row r="889" spans="1:11">
      <c r="A889" s="77" t="s">
        <v>272</v>
      </c>
      <c r="B889" s="141" t="s">
        <v>1047</v>
      </c>
      <c r="C889" s="205">
        <v>6</v>
      </c>
      <c r="D889" s="138" t="s">
        <v>306</v>
      </c>
      <c r="E889" s="135">
        <v>0</v>
      </c>
      <c r="F889" s="216" t="s">
        <v>307</v>
      </c>
      <c r="G889" s="4">
        <v>6</v>
      </c>
      <c r="H889" s="23">
        <f t="shared" si="52"/>
        <v>23</v>
      </c>
      <c r="I889" s="22" t="s">
        <v>380</v>
      </c>
      <c r="J889" s="85"/>
      <c r="K889" s="85"/>
    </row>
    <row r="890" spans="1:11">
      <c r="A890" s="77" t="s">
        <v>272</v>
      </c>
      <c r="B890" s="141" t="s">
        <v>1047</v>
      </c>
      <c r="C890" s="205">
        <v>7</v>
      </c>
      <c r="D890" s="138" t="s">
        <v>930</v>
      </c>
      <c r="E890" s="135">
        <v>0</v>
      </c>
      <c r="F890" s="211" t="s">
        <v>291</v>
      </c>
      <c r="G890" s="4">
        <v>14</v>
      </c>
      <c r="H890" s="23">
        <f t="shared" si="52"/>
        <v>37</v>
      </c>
      <c r="I890" s="22" t="s">
        <v>931</v>
      </c>
      <c r="J890" s="85"/>
      <c r="K890" s="85"/>
    </row>
    <row r="891" spans="1:11">
      <c r="A891" s="77" t="s">
        <v>272</v>
      </c>
      <c r="B891" s="141" t="s">
        <v>1047</v>
      </c>
      <c r="C891" s="205">
        <v>8</v>
      </c>
      <c r="D891" s="138" t="s">
        <v>932</v>
      </c>
      <c r="E891" s="135">
        <v>0</v>
      </c>
      <c r="F891" s="211" t="s">
        <v>291</v>
      </c>
      <c r="G891" s="4">
        <v>3</v>
      </c>
      <c r="H891" s="23">
        <f t="shared" si="52"/>
        <v>40</v>
      </c>
      <c r="I891" s="22" t="s">
        <v>1048</v>
      </c>
      <c r="J891" s="85"/>
      <c r="K891" s="85"/>
    </row>
    <row r="892" spans="1:11">
      <c r="A892" s="77" t="s">
        <v>272</v>
      </c>
      <c r="B892" s="141" t="s">
        <v>1047</v>
      </c>
      <c r="C892" s="205">
        <v>9</v>
      </c>
      <c r="D892" s="138" t="s">
        <v>934</v>
      </c>
      <c r="E892" s="135">
        <v>0</v>
      </c>
      <c r="F892" s="211" t="s">
        <v>291</v>
      </c>
      <c r="G892" s="4">
        <v>2</v>
      </c>
      <c r="H892" s="23">
        <f t="shared" si="52"/>
        <v>42</v>
      </c>
      <c r="I892" s="22" t="s">
        <v>935</v>
      </c>
      <c r="J892" s="85"/>
      <c r="K892" s="85"/>
    </row>
    <row r="893" spans="1:11" ht="22.5">
      <c r="A893" s="77" t="s">
        <v>272</v>
      </c>
      <c r="B893" s="141" t="s">
        <v>1047</v>
      </c>
      <c r="C893" s="205">
        <v>10</v>
      </c>
      <c r="D893" s="138" t="s">
        <v>936</v>
      </c>
      <c r="E893" s="135">
        <v>0</v>
      </c>
      <c r="F893" s="216" t="s">
        <v>307</v>
      </c>
      <c r="G893" s="4">
        <v>6</v>
      </c>
      <c r="H893" s="23">
        <f t="shared" si="52"/>
        <v>48</v>
      </c>
      <c r="I893" s="22" t="s">
        <v>1025</v>
      </c>
      <c r="J893" s="85"/>
      <c r="K893" s="85"/>
    </row>
    <row r="894" spans="1:11">
      <c r="A894" s="77" t="s">
        <v>272</v>
      </c>
      <c r="B894" s="141" t="s">
        <v>1047</v>
      </c>
      <c r="C894" s="205">
        <v>11</v>
      </c>
      <c r="D894" s="141" t="s">
        <v>1044</v>
      </c>
      <c r="E894" s="20">
        <v>0</v>
      </c>
      <c r="F894" s="220" t="s">
        <v>1012</v>
      </c>
      <c r="G894" s="221">
        <v>311</v>
      </c>
      <c r="H894" s="23">
        <f t="shared" si="52"/>
        <v>359</v>
      </c>
      <c r="I894" s="85"/>
      <c r="J894" s="85"/>
      <c r="K894" s="85"/>
    </row>
    <row r="895" spans="1:11">
      <c r="A895" s="77" t="s">
        <v>272</v>
      </c>
      <c r="B895" s="139" t="s">
        <v>1047</v>
      </c>
      <c r="C895" s="149">
        <v>12</v>
      </c>
      <c r="D895" s="139" t="s">
        <v>298</v>
      </c>
      <c r="E895" s="136">
        <v>0</v>
      </c>
      <c r="F895" s="215" t="s">
        <v>291</v>
      </c>
      <c r="G895" s="134">
        <v>1</v>
      </c>
      <c r="H895" s="74">
        <f t="shared" si="52"/>
        <v>360</v>
      </c>
      <c r="I895" s="74"/>
      <c r="J895" s="74"/>
      <c r="K895" s="74"/>
    </row>
    <row r="896" spans="1:11">
      <c r="A896" s="77" t="s">
        <v>1049</v>
      </c>
      <c r="B896" s="75" t="s">
        <v>1050</v>
      </c>
      <c r="C896" s="76">
        <v>1</v>
      </c>
      <c r="D896" s="75" t="s">
        <v>290</v>
      </c>
      <c r="E896" s="76">
        <v>0</v>
      </c>
      <c r="F896" s="210" t="s">
        <v>291</v>
      </c>
      <c r="G896" s="76">
        <v>2</v>
      </c>
      <c r="H896" s="76">
        <v>2</v>
      </c>
      <c r="I896" s="75" t="s">
        <v>1051</v>
      </c>
      <c r="J896" s="76"/>
      <c r="K896" s="76"/>
    </row>
    <row r="897" spans="1:11">
      <c r="A897" s="188" t="s">
        <v>276</v>
      </c>
      <c r="B897" s="192" t="s">
        <v>273</v>
      </c>
      <c r="C897" s="191">
        <v>2</v>
      </c>
      <c r="D897" s="184" t="s">
        <v>302</v>
      </c>
      <c r="E897" s="191">
        <v>0</v>
      </c>
      <c r="F897" s="214" t="s">
        <v>291</v>
      </c>
      <c r="G897" s="191">
        <v>3</v>
      </c>
      <c r="H897" s="191">
        <f t="shared" ref="H897:H907" si="53">H896+G897</f>
        <v>5</v>
      </c>
      <c r="I897" s="192" t="s">
        <v>1052</v>
      </c>
      <c r="J897" s="76"/>
      <c r="K897" s="76"/>
    </row>
    <row r="898" spans="1:11">
      <c r="A898" s="77" t="s">
        <v>276</v>
      </c>
      <c r="B898" s="84" t="s">
        <v>273</v>
      </c>
      <c r="C898" s="206">
        <v>3</v>
      </c>
      <c r="D898" s="138" t="s">
        <v>1053</v>
      </c>
      <c r="E898" s="135">
        <v>0</v>
      </c>
      <c r="F898" s="211" t="s">
        <v>291</v>
      </c>
      <c r="G898" s="4">
        <v>1</v>
      </c>
      <c r="H898" s="76">
        <f t="shared" si="53"/>
        <v>6</v>
      </c>
      <c r="I898" s="22" t="s">
        <v>1054</v>
      </c>
      <c r="J898" s="85"/>
      <c r="K898" s="76"/>
    </row>
    <row r="899" spans="1:11">
      <c r="A899" s="77" t="s">
        <v>276</v>
      </c>
      <c r="B899" s="84" t="s">
        <v>273</v>
      </c>
      <c r="C899" s="205">
        <v>4</v>
      </c>
      <c r="D899" s="138" t="s">
        <v>1055</v>
      </c>
      <c r="E899" s="135">
        <v>0</v>
      </c>
      <c r="F899" s="211" t="s">
        <v>291</v>
      </c>
      <c r="G899" s="4">
        <v>8</v>
      </c>
      <c r="H899" s="23">
        <f t="shared" si="53"/>
        <v>14</v>
      </c>
      <c r="I899" s="22" t="s">
        <v>380</v>
      </c>
      <c r="J899" s="85"/>
      <c r="K899" s="76"/>
    </row>
    <row r="900" spans="1:11">
      <c r="A900" s="77" t="s">
        <v>276</v>
      </c>
      <c r="B900" s="84" t="s">
        <v>273</v>
      </c>
      <c r="C900" s="206">
        <v>5</v>
      </c>
      <c r="D900" s="138" t="s">
        <v>1056</v>
      </c>
      <c r="E900" s="135">
        <v>0</v>
      </c>
      <c r="F900" s="211" t="s">
        <v>291</v>
      </c>
      <c r="G900" s="4">
        <v>8</v>
      </c>
      <c r="H900" s="23">
        <f t="shared" si="53"/>
        <v>22</v>
      </c>
      <c r="I900" s="22" t="s">
        <v>380</v>
      </c>
      <c r="J900" s="85"/>
      <c r="K900" s="76"/>
    </row>
    <row r="901" spans="1:11">
      <c r="A901" s="77" t="s">
        <v>276</v>
      </c>
      <c r="B901" s="84" t="s">
        <v>273</v>
      </c>
      <c r="C901" s="205">
        <v>6</v>
      </c>
      <c r="D901" s="138" t="s">
        <v>1057</v>
      </c>
      <c r="E901" s="135">
        <v>0</v>
      </c>
      <c r="F901" s="211" t="s">
        <v>307</v>
      </c>
      <c r="G901" s="4">
        <v>2</v>
      </c>
      <c r="H901" s="23">
        <f t="shared" si="53"/>
        <v>24</v>
      </c>
      <c r="I901" s="22" t="s">
        <v>1058</v>
      </c>
      <c r="J901" s="85"/>
      <c r="K901" s="76"/>
    </row>
    <row r="902" spans="1:11">
      <c r="A902" s="77" t="s">
        <v>276</v>
      </c>
      <c r="B902" s="84" t="s">
        <v>273</v>
      </c>
      <c r="C902" s="206">
        <v>7</v>
      </c>
      <c r="D902" s="138" t="s">
        <v>1059</v>
      </c>
      <c r="E902" s="135">
        <v>0</v>
      </c>
      <c r="F902" s="211" t="s">
        <v>307</v>
      </c>
      <c r="G902" s="4">
        <v>5</v>
      </c>
      <c r="H902" s="23">
        <f t="shared" si="53"/>
        <v>29</v>
      </c>
      <c r="I902" s="22" t="s">
        <v>1060</v>
      </c>
      <c r="J902" s="85"/>
      <c r="K902" s="76"/>
    </row>
    <row r="903" spans="1:11">
      <c r="A903" s="77" t="s">
        <v>276</v>
      </c>
      <c r="B903" s="84" t="s">
        <v>273</v>
      </c>
      <c r="C903" s="205">
        <v>8</v>
      </c>
      <c r="D903" s="138" t="s">
        <v>1061</v>
      </c>
      <c r="E903" s="135">
        <v>0</v>
      </c>
      <c r="F903" s="211" t="s">
        <v>307</v>
      </c>
      <c r="G903" s="4">
        <v>10</v>
      </c>
      <c r="H903" s="23">
        <f t="shared" si="53"/>
        <v>39</v>
      </c>
      <c r="I903" s="22" t="s">
        <v>1062</v>
      </c>
      <c r="J903" s="85"/>
      <c r="K903" s="76"/>
    </row>
    <row r="904" spans="1:11">
      <c r="A904" s="77" t="s">
        <v>276</v>
      </c>
      <c r="B904" s="84" t="s">
        <v>273</v>
      </c>
      <c r="C904" s="206">
        <v>9</v>
      </c>
      <c r="D904" s="138" t="s">
        <v>1063</v>
      </c>
      <c r="E904" s="135">
        <v>0</v>
      </c>
      <c r="F904" s="211" t="s">
        <v>307</v>
      </c>
      <c r="G904" s="4">
        <v>15</v>
      </c>
      <c r="H904" s="23">
        <f t="shared" si="53"/>
        <v>54</v>
      </c>
      <c r="I904" s="22" t="s">
        <v>1064</v>
      </c>
      <c r="J904" s="85"/>
      <c r="K904" s="76"/>
    </row>
    <row r="905" spans="1:11">
      <c r="A905" s="77" t="s">
        <v>276</v>
      </c>
      <c r="B905" s="84" t="s">
        <v>273</v>
      </c>
      <c r="C905" s="205">
        <v>10</v>
      </c>
      <c r="D905" s="138" t="s">
        <v>1065</v>
      </c>
      <c r="E905" s="135">
        <v>0</v>
      </c>
      <c r="F905" s="211" t="s">
        <v>307</v>
      </c>
      <c r="G905" s="4">
        <v>4</v>
      </c>
      <c r="H905" s="23">
        <f t="shared" si="53"/>
        <v>58</v>
      </c>
      <c r="I905" s="22" t="s">
        <v>1066</v>
      </c>
      <c r="J905" s="85"/>
      <c r="K905" s="76"/>
    </row>
    <row r="906" spans="1:11">
      <c r="A906" s="77" t="s">
        <v>276</v>
      </c>
      <c r="B906" s="84" t="s">
        <v>273</v>
      </c>
      <c r="C906" s="206">
        <v>11</v>
      </c>
      <c r="D906" s="138" t="s">
        <v>1021</v>
      </c>
      <c r="E906" s="135">
        <v>0</v>
      </c>
      <c r="F906" s="211" t="s">
        <v>291</v>
      </c>
      <c r="G906" s="4">
        <v>42</v>
      </c>
      <c r="H906" s="23">
        <f t="shared" si="53"/>
        <v>100</v>
      </c>
      <c r="I906" s="86"/>
      <c r="J906" s="85"/>
      <c r="K906" s="76"/>
    </row>
    <row r="907" spans="1:11">
      <c r="A907" s="77" t="s">
        <v>276</v>
      </c>
      <c r="B907" s="36" t="s">
        <v>273</v>
      </c>
      <c r="C907" s="149">
        <v>12</v>
      </c>
      <c r="D907" s="139" t="s">
        <v>298</v>
      </c>
      <c r="E907" s="136">
        <v>0</v>
      </c>
      <c r="F907" s="215" t="s">
        <v>291</v>
      </c>
      <c r="G907" s="134">
        <v>1</v>
      </c>
      <c r="H907" s="74">
        <f t="shared" si="53"/>
        <v>101</v>
      </c>
      <c r="I907" s="36" t="s">
        <v>299</v>
      </c>
      <c r="J907" s="74"/>
      <c r="K907" s="74"/>
    </row>
    <row r="908" spans="1:11">
      <c r="A908" s="77" t="s">
        <v>1067</v>
      </c>
      <c r="B908" s="75" t="s">
        <v>1068</v>
      </c>
      <c r="C908" s="76">
        <v>1</v>
      </c>
      <c r="D908" s="75" t="s">
        <v>290</v>
      </c>
      <c r="E908" s="76">
        <v>0</v>
      </c>
      <c r="F908" s="210" t="s">
        <v>291</v>
      </c>
      <c r="G908" s="76">
        <v>2</v>
      </c>
      <c r="H908" s="76">
        <v>2</v>
      </c>
      <c r="I908" s="75" t="s">
        <v>1051</v>
      </c>
      <c r="J908" s="76"/>
      <c r="K908" s="76"/>
    </row>
    <row r="909" spans="1:11">
      <c r="A909" s="188" t="s">
        <v>278</v>
      </c>
      <c r="B909" s="192" t="s">
        <v>277</v>
      </c>
      <c r="C909" s="191">
        <v>2</v>
      </c>
      <c r="D909" s="184" t="s">
        <v>302</v>
      </c>
      <c r="E909" s="191">
        <v>0</v>
      </c>
      <c r="F909" s="214" t="s">
        <v>291</v>
      </c>
      <c r="G909" s="191">
        <v>3</v>
      </c>
      <c r="H909" s="191">
        <f t="shared" ref="H909:H920" si="54">H908+G909</f>
        <v>5</v>
      </c>
      <c r="I909" s="192" t="s">
        <v>1052</v>
      </c>
      <c r="J909" s="76"/>
      <c r="K909" s="76"/>
    </row>
    <row r="910" spans="1:11">
      <c r="A910" s="77" t="s">
        <v>278</v>
      </c>
      <c r="B910" s="84" t="s">
        <v>277</v>
      </c>
      <c r="C910" s="206">
        <v>3</v>
      </c>
      <c r="D910" s="138" t="s">
        <v>1053</v>
      </c>
      <c r="E910" s="135">
        <v>0</v>
      </c>
      <c r="F910" s="211" t="s">
        <v>291</v>
      </c>
      <c r="G910" s="4">
        <v>1</v>
      </c>
      <c r="H910" s="76">
        <f t="shared" si="54"/>
        <v>6</v>
      </c>
      <c r="I910" s="22" t="s">
        <v>1069</v>
      </c>
      <c r="J910" s="85"/>
      <c r="K910" s="76"/>
    </row>
    <row r="911" spans="1:11">
      <c r="A911" s="77" t="s">
        <v>278</v>
      </c>
      <c r="B911" s="84" t="s">
        <v>277</v>
      </c>
      <c r="C911" s="205">
        <v>4</v>
      </c>
      <c r="D911" s="138" t="s">
        <v>847</v>
      </c>
      <c r="E911" s="135">
        <v>0</v>
      </c>
      <c r="F911" s="211" t="s">
        <v>291</v>
      </c>
      <c r="G911" s="4">
        <v>4</v>
      </c>
      <c r="H911" s="23">
        <f t="shared" si="54"/>
        <v>10</v>
      </c>
      <c r="I911" s="22" t="s">
        <v>380</v>
      </c>
      <c r="J911" s="85"/>
      <c r="K911" s="76"/>
    </row>
    <row r="912" spans="1:11">
      <c r="A912" s="77" t="s">
        <v>278</v>
      </c>
      <c r="B912" s="84" t="s">
        <v>277</v>
      </c>
      <c r="C912" s="206">
        <v>5</v>
      </c>
      <c r="D912" s="138" t="s">
        <v>1055</v>
      </c>
      <c r="E912" s="135">
        <v>0</v>
      </c>
      <c r="F912" s="211" t="s">
        <v>291</v>
      </c>
      <c r="G912" s="4">
        <v>8</v>
      </c>
      <c r="H912" s="23">
        <f t="shared" si="54"/>
        <v>18</v>
      </c>
      <c r="I912" s="22" t="s">
        <v>380</v>
      </c>
      <c r="J912" s="85"/>
      <c r="K912" s="76"/>
    </row>
    <row r="913" spans="1:11">
      <c r="A913" s="77" t="s">
        <v>278</v>
      </c>
      <c r="B913" s="84" t="s">
        <v>277</v>
      </c>
      <c r="C913" s="206">
        <v>6</v>
      </c>
      <c r="D913" s="138" t="s">
        <v>1070</v>
      </c>
      <c r="E913" s="135">
        <v>0</v>
      </c>
      <c r="F913" s="211" t="s">
        <v>307</v>
      </c>
      <c r="G913" s="4">
        <v>8</v>
      </c>
      <c r="H913" s="23">
        <f t="shared" si="54"/>
        <v>26</v>
      </c>
      <c r="I913" s="22" t="s">
        <v>380</v>
      </c>
      <c r="J913" s="85"/>
      <c r="K913" s="76"/>
    </row>
    <row r="914" spans="1:11">
      <c r="A914" s="77" t="s">
        <v>278</v>
      </c>
      <c r="B914" s="84" t="s">
        <v>277</v>
      </c>
      <c r="C914" s="205">
        <v>7</v>
      </c>
      <c r="D914" s="138" t="s">
        <v>1071</v>
      </c>
      <c r="E914" s="135">
        <v>0</v>
      </c>
      <c r="F914" s="211" t="s">
        <v>307</v>
      </c>
      <c r="G914" s="4">
        <v>2</v>
      </c>
      <c r="H914" s="23">
        <f t="shared" si="54"/>
        <v>28</v>
      </c>
      <c r="I914" s="22" t="s">
        <v>1058</v>
      </c>
      <c r="J914" s="85"/>
      <c r="K914" s="76"/>
    </row>
    <row r="915" spans="1:11">
      <c r="A915" s="77" t="s">
        <v>278</v>
      </c>
      <c r="B915" s="84" t="s">
        <v>277</v>
      </c>
      <c r="C915" s="206">
        <v>8</v>
      </c>
      <c r="D915" s="138" t="s">
        <v>1072</v>
      </c>
      <c r="E915" s="135">
        <v>0</v>
      </c>
      <c r="F915" s="211" t="s">
        <v>307</v>
      </c>
      <c r="G915" s="4">
        <v>5</v>
      </c>
      <c r="H915" s="23">
        <f t="shared" si="54"/>
        <v>33</v>
      </c>
      <c r="I915" s="22" t="s">
        <v>1060</v>
      </c>
      <c r="J915" s="85"/>
      <c r="K915" s="76"/>
    </row>
    <row r="916" spans="1:11">
      <c r="A916" s="77" t="s">
        <v>278</v>
      </c>
      <c r="B916" s="84" t="s">
        <v>277</v>
      </c>
      <c r="C916" s="206">
        <v>9</v>
      </c>
      <c r="D916" s="138" t="s">
        <v>1061</v>
      </c>
      <c r="E916" s="135">
        <v>0</v>
      </c>
      <c r="F916" s="211" t="s">
        <v>307</v>
      </c>
      <c r="G916" s="4">
        <v>10</v>
      </c>
      <c r="H916" s="23">
        <f t="shared" si="54"/>
        <v>43</v>
      </c>
      <c r="I916" s="22" t="s">
        <v>1062</v>
      </c>
      <c r="J916" s="85"/>
      <c r="K916" s="76"/>
    </row>
    <row r="917" spans="1:11">
      <c r="A917" s="77" t="s">
        <v>278</v>
      </c>
      <c r="B917" s="84" t="s">
        <v>277</v>
      </c>
      <c r="C917" s="205">
        <v>10</v>
      </c>
      <c r="D917" s="138" t="s">
        <v>1063</v>
      </c>
      <c r="E917" s="135">
        <v>0</v>
      </c>
      <c r="F917" s="211" t="s">
        <v>307</v>
      </c>
      <c r="G917" s="4">
        <v>15</v>
      </c>
      <c r="H917" s="23">
        <f t="shared" si="54"/>
        <v>58</v>
      </c>
      <c r="I917" s="22" t="s">
        <v>1064</v>
      </c>
      <c r="J917" s="85"/>
      <c r="K917" s="76"/>
    </row>
    <row r="918" spans="1:11">
      <c r="A918" s="77" t="s">
        <v>278</v>
      </c>
      <c r="B918" s="84" t="s">
        <v>277</v>
      </c>
      <c r="C918" s="206">
        <v>11</v>
      </c>
      <c r="D918" s="138" t="s">
        <v>1073</v>
      </c>
      <c r="E918" s="135">
        <v>0</v>
      </c>
      <c r="F918" s="211" t="s">
        <v>307</v>
      </c>
      <c r="G918" s="4">
        <v>4</v>
      </c>
      <c r="H918" s="23">
        <f t="shared" si="54"/>
        <v>62</v>
      </c>
      <c r="I918" s="22" t="s">
        <v>1066</v>
      </c>
      <c r="J918" s="85"/>
      <c r="K918" s="76"/>
    </row>
    <row r="919" spans="1:11">
      <c r="A919" s="77" t="s">
        <v>278</v>
      </c>
      <c r="B919" s="84" t="s">
        <v>277</v>
      </c>
      <c r="C919" s="206">
        <v>12</v>
      </c>
      <c r="D919" s="138" t="s">
        <v>320</v>
      </c>
      <c r="E919" s="135">
        <v>0</v>
      </c>
      <c r="F919" s="211" t="s">
        <v>291</v>
      </c>
      <c r="G919" s="4">
        <v>38</v>
      </c>
      <c r="H919" s="23">
        <f t="shared" si="54"/>
        <v>100</v>
      </c>
      <c r="I919" s="86"/>
      <c r="J919" s="85"/>
      <c r="K919" s="76"/>
    </row>
    <row r="920" spans="1:11">
      <c r="A920" s="77" t="s">
        <v>278</v>
      </c>
      <c r="B920" s="36" t="s">
        <v>277</v>
      </c>
      <c r="C920" s="149">
        <v>13</v>
      </c>
      <c r="D920" s="139" t="s">
        <v>298</v>
      </c>
      <c r="E920" s="136">
        <v>0</v>
      </c>
      <c r="F920" s="215" t="s">
        <v>291</v>
      </c>
      <c r="G920" s="134">
        <v>1</v>
      </c>
      <c r="H920" s="74">
        <f t="shared" si="54"/>
        <v>101</v>
      </c>
      <c r="I920" s="36" t="s">
        <v>299</v>
      </c>
      <c r="J920" s="74"/>
      <c r="K920" s="74"/>
    </row>
    <row r="921" spans="1:11">
      <c r="A921" s="77" t="s">
        <v>280</v>
      </c>
      <c r="B921" s="75" t="s">
        <v>1074</v>
      </c>
      <c r="C921" s="76">
        <v>1</v>
      </c>
      <c r="D921" s="75" t="s">
        <v>290</v>
      </c>
      <c r="E921" s="76">
        <v>0</v>
      </c>
      <c r="F921" s="210" t="s">
        <v>291</v>
      </c>
      <c r="G921" s="76">
        <v>2</v>
      </c>
      <c r="H921" s="76">
        <v>2</v>
      </c>
      <c r="I921" s="75" t="s">
        <v>1051</v>
      </c>
      <c r="J921" s="76"/>
      <c r="K921" s="76"/>
    </row>
    <row r="922" spans="1:11">
      <c r="A922" s="188" t="s">
        <v>280</v>
      </c>
      <c r="B922" s="192" t="s">
        <v>279</v>
      </c>
      <c r="C922" s="191">
        <v>2</v>
      </c>
      <c r="D922" s="184" t="s">
        <v>302</v>
      </c>
      <c r="E922" s="191">
        <v>0</v>
      </c>
      <c r="F922" s="214" t="s">
        <v>291</v>
      </c>
      <c r="G922" s="191">
        <v>3</v>
      </c>
      <c r="H922" s="191">
        <f t="shared" ref="H922:H935" si="55">H921+G922</f>
        <v>5</v>
      </c>
      <c r="I922" s="192" t="s">
        <v>1052</v>
      </c>
      <c r="J922" s="76"/>
      <c r="K922" s="76"/>
    </row>
    <row r="923" spans="1:11">
      <c r="A923" s="77" t="s">
        <v>280</v>
      </c>
      <c r="B923" s="84" t="s">
        <v>279</v>
      </c>
      <c r="C923" s="206">
        <v>3</v>
      </c>
      <c r="D923" s="138" t="s">
        <v>1053</v>
      </c>
      <c r="E923" s="135">
        <v>0</v>
      </c>
      <c r="F923" s="211" t="s">
        <v>291</v>
      </c>
      <c r="G923" s="4">
        <v>1</v>
      </c>
      <c r="H923" s="76">
        <f t="shared" si="55"/>
        <v>6</v>
      </c>
      <c r="I923" s="22" t="s">
        <v>1075</v>
      </c>
      <c r="J923" s="85"/>
      <c r="K923" s="76"/>
    </row>
    <row r="924" spans="1:11">
      <c r="A924" s="77" t="s">
        <v>280</v>
      </c>
      <c r="B924" s="84" t="s">
        <v>279</v>
      </c>
      <c r="C924" s="205">
        <v>4</v>
      </c>
      <c r="D924" s="138" t="s">
        <v>1076</v>
      </c>
      <c r="E924" s="135">
        <v>0</v>
      </c>
      <c r="F924" s="211" t="s">
        <v>291</v>
      </c>
      <c r="G924" s="88">
        <v>8</v>
      </c>
      <c r="H924" s="23">
        <f t="shared" si="55"/>
        <v>14</v>
      </c>
      <c r="I924" s="22" t="s">
        <v>380</v>
      </c>
      <c r="J924" s="85"/>
      <c r="K924" s="76"/>
    </row>
    <row r="925" spans="1:11">
      <c r="A925" s="77" t="s">
        <v>280</v>
      </c>
      <c r="B925" s="84" t="s">
        <v>279</v>
      </c>
      <c r="C925" s="206">
        <v>5</v>
      </c>
      <c r="D925" s="138" t="s">
        <v>1077</v>
      </c>
      <c r="E925" s="135">
        <v>0</v>
      </c>
      <c r="F925" s="211" t="s">
        <v>291</v>
      </c>
      <c r="G925" s="88">
        <v>8</v>
      </c>
      <c r="H925" s="23">
        <f t="shared" si="55"/>
        <v>22</v>
      </c>
      <c r="I925" s="22" t="s">
        <v>380</v>
      </c>
      <c r="J925" s="85"/>
      <c r="K925" s="76"/>
    </row>
    <row r="926" spans="1:11">
      <c r="A926" s="77" t="s">
        <v>280</v>
      </c>
      <c r="B926" s="84" t="s">
        <v>279</v>
      </c>
      <c r="C926" s="205">
        <v>6</v>
      </c>
      <c r="D926" s="138" t="s">
        <v>1071</v>
      </c>
      <c r="E926" s="135">
        <v>0</v>
      </c>
      <c r="F926" s="216" t="s">
        <v>307</v>
      </c>
      <c r="G926" s="88">
        <v>2</v>
      </c>
      <c r="H926" s="23">
        <f t="shared" si="55"/>
        <v>24</v>
      </c>
      <c r="I926" s="22" t="s">
        <v>1058</v>
      </c>
      <c r="J926" s="85"/>
      <c r="K926" s="76"/>
    </row>
    <row r="927" spans="1:11">
      <c r="A927" s="77" t="s">
        <v>280</v>
      </c>
      <c r="B927" s="84" t="s">
        <v>279</v>
      </c>
      <c r="C927" s="206">
        <v>7</v>
      </c>
      <c r="D927" s="138" t="s">
        <v>1078</v>
      </c>
      <c r="E927" s="135">
        <v>0</v>
      </c>
      <c r="F927" s="216" t="s">
        <v>307</v>
      </c>
      <c r="G927" s="88">
        <v>5</v>
      </c>
      <c r="H927" s="23">
        <f t="shared" si="55"/>
        <v>29</v>
      </c>
      <c r="I927" s="22" t="s">
        <v>1060</v>
      </c>
      <c r="J927" s="85"/>
      <c r="K927" s="76"/>
    </row>
    <row r="928" spans="1:11">
      <c r="A928" s="77" t="s">
        <v>280</v>
      </c>
      <c r="B928" s="84" t="s">
        <v>279</v>
      </c>
      <c r="C928" s="205">
        <v>8</v>
      </c>
      <c r="D928" s="138" t="s">
        <v>1061</v>
      </c>
      <c r="E928" s="135">
        <v>0</v>
      </c>
      <c r="F928" s="216" t="s">
        <v>307</v>
      </c>
      <c r="G928" s="88">
        <v>10</v>
      </c>
      <c r="H928" s="23">
        <f t="shared" si="55"/>
        <v>39</v>
      </c>
      <c r="I928" s="22" t="s">
        <v>1062</v>
      </c>
      <c r="J928" s="85"/>
      <c r="K928" s="76"/>
    </row>
    <row r="929" spans="1:11">
      <c r="A929" s="77" t="s">
        <v>280</v>
      </c>
      <c r="B929" s="84" t="s">
        <v>279</v>
      </c>
      <c r="C929" s="206">
        <v>9</v>
      </c>
      <c r="D929" s="138" t="s">
        <v>1063</v>
      </c>
      <c r="E929" s="135">
        <v>0</v>
      </c>
      <c r="F929" s="216" t="s">
        <v>307</v>
      </c>
      <c r="G929" s="88">
        <v>15</v>
      </c>
      <c r="H929" s="23">
        <f t="shared" si="55"/>
        <v>54</v>
      </c>
      <c r="I929" s="22" t="s">
        <v>1064</v>
      </c>
      <c r="J929" s="85"/>
      <c r="K929" s="76"/>
    </row>
    <row r="930" spans="1:11">
      <c r="A930" s="77" t="s">
        <v>280</v>
      </c>
      <c r="B930" s="84" t="s">
        <v>279</v>
      </c>
      <c r="C930" s="205">
        <v>10</v>
      </c>
      <c r="D930" s="138" t="s">
        <v>1079</v>
      </c>
      <c r="E930" s="135">
        <v>0</v>
      </c>
      <c r="F930" s="216" t="s">
        <v>307</v>
      </c>
      <c r="G930" s="88">
        <v>4</v>
      </c>
      <c r="H930" s="23">
        <f t="shared" si="55"/>
        <v>58</v>
      </c>
      <c r="I930" s="22" t="s">
        <v>1066</v>
      </c>
      <c r="J930" s="85"/>
      <c r="K930" s="76"/>
    </row>
    <row r="931" spans="1:11">
      <c r="A931" s="77" t="s">
        <v>280</v>
      </c>
      <c r="B931" s="84" t="s">
        <v>279</v>
      </c>
      <c r="C931" s="206">
        <v>11</v>
      </c>
      <c r="D931" s="138" t="s">
        <v>1080</v>
      </c>
      <c r="E931" s="135">
        <v>0</v>
      </c>
      <c r="F931" s="216" t="s">
        <v>307</v>
      </c>
      <c r="G931" s="88">
        <v>4</v>
      </c>
      <c r="H931" s="23">
        <f t="shared" si="55"/>
        <v>62</v>
      </c>
      <c r="I931" s="86"/>
      <c r="J931" s="85"/>
      <c r="K931" s="76"/>
    </row>
    <row r="932" spans="1:11">
      <c r="A932" s="77" t="s">
        <v>280</v>
      </c>
      <c r="B932" s="84" t="s">
        <v>279</v>
      </c>
      <c r="C932" s="205">
        <v>12</v>
      </c>
      <c r="D932" s="138" t="s">
        <v>1081</v>
      </c>
      <c r="E932" s="135">
        <v>0</v>
      </c>
      <c r="F932" s="216" t="s">
        <v>307</v>
      </c>
      <c r="G932" s="88">
        <v>4</v>
      </c>
      <c r="H932" s="23">
        <f t="shared" si="55"/>
        <v>66</v>
      </c>
      <c r="I932" s="86"/>
      <c r="J932" s="85"/>
      <c r="K932" s="76"/>
    </row>
    <row r="933" spans="1:11">
      <c r="A933" s="77" t="s">
        <v>280</v>
      </c>
      <c r="B933" s="84" t="s">
        <v>279</v>
      </c>
      <c r="C933" s="206">
        <v>13</v>
      </c>
      <c r="D933" s="138" t="s">
        <v>1082</v>
      </c>
      <c r="E933" s="135">
        <v>0</v>
      </c>
      <c r="F933" s="216" t="s">
        <v>307</v>
      </c>
      <c r="G933" s="88">
        <v>4</v>
      </c>
      <c r="H933" s="23">
        <f t="shared" si="55"/>
        <v>70</v>
      </c>
      <c r="I933" s="86"/>
      <c r="J933" s="85"/>
      <c r="K933" s="76"/>
    </row>
    <row r="934" spans="1:11">
      <c r="A934" s="77" t="s">
        <v>280</v>
      </c>
      <c r="B934" s="84" t="s">
        <v>279</v>
      </c>
      <c r="C934" s="205">
        <v>14</v>
      </c>
      <c r="D934" s="138" t="s">
        <v>1021</v>
      </c>
      <c r="E934" s="135">
        <v>0</v>
      </c>
      <c r="F934" s="211" t="s">
        <v>291</v>
      </c>
      <c r="G934" s="88">
        <v>30</v>
      </c>
      <c r="H934" s="23">
        <f t="shared" si="55"/>
        <v>100</v>
      </c>
      <c r="I934" s="86"/>
      <c r="J934" s="85"/>
      <c r="K934" s="76"/>
    </row>
    <row r="935" spans="1:11">
      <c r="A935" s="77" t="s">
        <v>280</v>
      </c>
      <c r="B935" s="36" t="s">
        <v>279</v>
      </c>
      <c r="C935" s="145">
        <v>15</v>
      </c>
      <c r="D935" s="139" t="s">
        <v>298</v>
      </c>
      <c r="E935" s="136">
        <v>0</v>
      </c>
      <c r="F935" s="215" t="s">
        <v>291</v>
      </c>
      <c r="G935" s="89">
        <v>1</v>
      </c>
      <c r="H935" s="74">
        <f t="shared" si="55"/>
        <v>101</v>
      </c>
      <c r="I935" s="36" t="s">
        <v>299</v>
      </c>
      <c r="J935" s="74"/>
      <c r="K935" s="74"/>
    </row>
    <row r="936" spans="1:11">
      <c r="A936" s="75" t="s">
        <v>144</v>
      </c>
      <c r="B936" s="75" t="s">
        <v>141</v>
      </c>
      <c r="C936" s="76">
        <v>1</v>
      </c>
      <c r="D936" s="75" t="s">
        <v>290</v>
      </c>
      <c r="E936" s="76">
        <v>0</v>
      </c>
      <c r="F936" s="210" t="s">
        <v>291</v>
      </c>
      <c r="G936" s="76">
        <v>2</v>
      </c>
      <c r="H936" s="76">
        <v>2</v>
      </c>
      <c r="I936" s="75" t="s">
        <v>1083</v>
      </c>
      <c r="J936" s="76"/>
      <c r="K936" s="76"/>
    </row>
    <row r="937" spans="1:11">
      <c r="A937" s="192" t="s">
        <v>144</v>
      </c>
      <c r="B937" s="192" t="s">
        <v>141</v>
      </c>
      <c r="C937" s="191">
        <v>2</v>
      </c>
      <c r="D937" s="184" t="s">
        <v>302</v>
      </c>
      <c r="E937" s="191">
        <v>0</v>
      </c>
      <c r="F937" s="214" t="s">
        <v>291</v>
      </c>
      <c r="G937" s="191">
        <v>3</v>
      </c>
      <c r="H937" s="191">
        <f t="shared" ref="H937:H942" si="56">H936+G937</f>
        <v>5</v>
      </c>
      <c r="I937" s="192" t="s">
        <v>536</v>
      </c>
      <c r="J937" s="76"/>
      <c r="K937" s="76"/>
    </row>
    <row r="938" spans="1:11">
      <c r="A938" s="75" t="s">
        <v>144</v>
      </c>
      <c r="B938" s="84" t="s">
        <v>141</v>
      </c>
      <c r="C938" s="206">
        <v>3</v>
      </c>
      <c r="D938" s="138" t="s">
        <v>304</v>
      </c>
      <c r="E938" s="135">
        <v>0</v>
      </c>
      <c r="F938" s="211" t="s">
        <v>291</v>
      </c>
      <c r="G938" s="4">
        <v>12</v>
      </c>
      <c r="H938" s="76">
        <f t="shared" si="56"/>
        <v>17</v>
      </c>
      <c r="I938" s="22" t="s">
        <v>305</v>
      </c>
      <c r="J938" s="85"/>
      <c r="K938" s="76"/>
    </row>
    <row r="939" spans="1:11" ht="22.5">
      <c r="A939" s="157" t="s">
        <v>144</v>
      </c>
      <c r="B939" s="33" t="s">
        <v>141</v>
      </c>
      <c r="C939" s="205">
        <v>4</v>
      </c>
      <c r="D939" s="21" t="s">
        <v>1084</v>
      </c>
      <c r="E939" s="20">
        <v>0</v>
      </c>
      <c r="F939" s="211" t="s">
        <v>291</v>
      </c>
      <c r="G939" s="88">
        <v>3</v>
      </c>
      <c r="H939" s="20">
        <f t="shared" si="56"/>
        <v>20</v>
      </c>
      <c r="I939" s="34" t="s">
        <v>1085</v>
      </c>
      <c r="K939" s="128"/>
    </row>
    <row r="940" spans="1:11">
      <c r="A940" s="157" t="s">
        <v>144</v>
      </c>
      <c r="B940" s="33" t="s">
        <v>141</v>
      </c>
      <c r="C940" s="206">
        <v>5</v>
      </c>
      <c r="D940" s="21" t="s">
        <v>1086</v>
      </c>
      <c r="E940" s="20">
        <v>0</v>
      </c>
      <c r="F940" s="216" t="s">
        <v>307</v>
      </c>
      <c r="G940" s="88">
        <v>10</v>
      </c>
      <c r="H940" s="20">
        <f t="shared" si="56"/>
        <v>30</v>
      </c>
      <c r="I940" s="34" t="s">
        <v>1087</v>
      </c>
      <c r="K940" s="128"/>
    </row>
    <row r="941" spans="1:11">
      <c r="A941" s="157" t="s">
        <v>144</v>
      </c>
      <c r="B941" s="33" t="s">
        <v>141</v>
      </c>
      <c r="C941" s="205">
        <v>6</v>
      </c>
      <c r="D941" s="138" t="s">
        <v>320</v>
      </c>
      <c r="E941" s="20">
        <v>0</v>
      </c>
      <c r="F941" s="211" t="s">
        <v>291</v>
      </c>
      <c r="G941" s="88">
        <v>19</v>
      </c>
      <c r="H941" s="20">
        <f t="shared" si="56"/>
        <v>49</v>
      </c>
      <c r="I941" s="34" t="s">
        <v>321</v>
      </c>
      <c r="K941" s="128"/>
    </row>
    <row r="942" spans="1:11">
      <c r="A942" s="158" t="s">
        <v>144</v>
      </c>
      <c r="B942" s="127" t="s">
        <v>141</v>
      </c>
      <c r="C942" s="145">
        <v>7</v>
      </c>
      <c r="D942" s="139" t="s">
        <v>298</v>
      </c>
      <c r="E942" s="72">
        <v>0</v>
      </c>
      <c r="F942" s="215" t="s">
        <v>291</v>
      </c>
      <c r="G942" s="89">
        <v>1</v>
      </c>
      <c r="H942" s="72">
        <f t="shared" si="56"/>
        <v>50</v>
      </c>
      <c r="I942" s="129" t="s">
        <v>299</v>
      </c>
      <c r="J942" s="129"/>
      <c r="K942" s="130"/>
    </row>
  </sheetData>
  <sheetProtection formatCells="0" formatColumns="0" formatRows="0" insertColumns="0" insertRows="0" insertHyperlinks="0" deleteColumns="0" deleteRows="0" sort="0" autoFilter="0" pivotTables="0"/>
  <phoneticPr fontId="27" type="noConversion"/>
  <conditionalFormatting sqref="B2 E2 E24 J24:K24 E143:E155 I143:J155 B427:B440 B648 I906:J906 J898:J905 B521:B535 B538:B541 B117:B130 B133:B140 B171:B184 B445:B448 I451:I506 B490:B518 E7:E8 J7:K8 I7:I17 B7:B17 E36:E43 K37:K43 J36:J43 E46:E52 J46:K52 G35:H53 K55:K66 E54:E56 J55:J56 H55:H67 K69:K77 E68:E70 K79:K97 E78:E97 J100:K105 B36:B114 H110:H114 K108:K113 K116:K129 H118:H130 K132:K139 K141:K155 K158:K167 K170:K183 K186:K195 B187:B205 K198:K204 E233:E252 K233:K252 B265:B275 K267 I268:K268 B278:B287 K279 I280:K280 K291:K306 B401:B409 K402:K408 K411:K420 B411:B420 I412:J412 K423:K439 C423 E423:E426 J423:J425 H423:H440 J442:K444 C442 E443:E444 J450:K541 E449:E541 B450:B459 E545:E565 J544:K565 H546:H566 E572:E592 J568 I569:J592 K568:K592 J595:K600 E599:E600 J603:K608 E607:E608 I604:I607 J611:K622 E615:E622 I612:I621 B543:B635 J625 E629:E633 I626:J633 K625:K633 E640:E646 I636:K646 G649:G651 H649:H665 E671:E683 J667 I668:J683 K667:K683 E690:E697 J686 I687:J697 K686:K697 E704:E711 J700 I701:J711 K700:K711 E718:E729 J714 I715:J729 K714:K729 E736:E766 J732 I733:J766 K732:K766 E773:E813 J769 I770:J813 K769:K813 K896:K906 K909:K910 K922:K923 K937:K938 A937:A938 B143:B156 B159:B168 B208:B213 B216:B221 B224:B263 I256:K256 D256:E264 D268:E276 D280:E288 D412:E414 B666:B815 B898:B907 E898:E906 G443:G444 G56:G67 G70:G99 G101:G107 G907:G908 G920 G109:G115 G117:G131 G143:G157 G159:G185 G187:G197 G199:G206 G208:G222 G224:G266 G268:G278 G280:G291 G307:G309 G325:G327 G343:G344 G361:G363 G375:G376 G388:G389 G401:G420 G422:G426 G441 H413:J414 H281:K288 H269:K276 H257:K264 H444 H666:K666 H567:K567 H2:H7 H232:H253 H69:H99 H102:H107 H568:H647 H667:H814 H131:J131 G141:J141 H157:J157 H169:J170 H185:J185 H197:J197 H206:J206 H214:J215 H222:J222 H254:K255 H265:J266 H277:J278 H289:J291 H308:J309 H326:J327 H344:J344 H362:J363 H375:J375 H376 H388:J388 H389 H401:J402 H410:J411 H417 H418:J419 H415 H416:J416 G896:J897 H908:J908 G921:J921 G936:J937 H186:I186 H198:I198 H207:I207 H223:I223 H267:I267 H279:I279 H345:I345 H449:H544 G1:K1 G21:G25 H18:H19 H25:H26 G909:H909 G922:H922 G2:G18 I420:J420 G448:G647 G666:G814 G826:G828">
    <cfRule type="expression" dxfId="1827" priority="10165">
      <formula>"="</formula>
    </cfRule>
  </conditionalFormatting>
  <conditionalFormatting sqref="B2 B427:B440 B648 B898:B907 B521:B535 B538:B541 B117:B130 B133:B140 B143:B156 B159:B168 B171:B184 B208:B213 B216:B221 B445:B448 B490:B518 B7:B17 B36:B114 B187:B205 B265:B275 B278:B287 B401:B409 B450:B459 B543:B635 B666:B815 B224:B263 G1:K1">
    <cfRule type="expression" dxfId="1826" priority="10164">
      <formula>"="</formula>
    </cfRule>
  </conditionalFormatting>
  <conditionalFormatting sqref="D2 D143:D155 D567 D666 D7:D17 D37:D44 D47:D52 D56:D67 D80:D97 D101:D105 D109:D113 D234:D252 D424:D440 B423:B426 D443:D444 B442:B444 D451:D541 D545:D565 D569:D592 D596:D600 D604:D608 D612:D622 D626:D633 D637:D646 D650:D651 D668:D683 D687:D697 D701:D711 D715:D729 D733:D766 D770:D813 G99 G107 D70:D76">
    <cfRule type="expression" dxfId="1825" priority="4973">
      <formula>"="</formula>
    </cfRule>
  </conditionalFormatting>
  <conditionalFormatting sqref="E3:E5 B3:B5">
    <cfRule type="expression" dxfId="1824" priority="2554">
      <formula>"="</formula>
    </cfRule>
  </conditionalFormatting>
  <conditionalFormatting sqref="B3:B5">
    <cfRule type="expression" dxfId="1823" priority="2553">
      <formula>"="</formula>
    </cfRule>
  </conditionalFormatting>
  <conditionalFormatting sqref="D3:D4">
    <cfRule type="expression" dxfId="1822" priority="2552">
      <formula>"="</formula>
    </cfRule>
  </conditionalFormatting>
  <conditionalFormatting sqref="I2:K2">
    <cfRule type="expression" dxfId="1821" priority="2550">
      <formula>"="</formula>
    </cfRule>
  </conditionalFormatting>
  <conditionalFormatting sqref="I3:K5">
    <cfRule type="expression" dxfId="1820" priority="2549">
      <formula>"="</formula>
    </cfRule>
  </conditionalFormatting>
  <conditionalFormatting sqref="B6 E6 E9 C17 C11 C13 C15">
    <cfRule type="expression" dxfId="1819" priority="2548">
      <formula>"="</formula>
    </cfRule>
  </conditionalFormatting>
  <conditionalFormatting sqref="B6">
    <cfRule type="expression" dxfId="1818" priority="2547">
      <formula>"="</formula>
    </cfRule>
  </conditionalFormatting>
  <conditionalFormatting sqref="H24 E17:E18 E20:E23 H8:H17 C10 C12 C14 C16 G20">
    <cfRule type="expression" dxfId="1817" priority="2545">
      <formula>"="</formula>
    </cfRule>
  </conditionalFormatting>
  <conditionalFormatting sqref="D18">
    <cfRule type="expression" dxfId="1816" priority="2543">
      <formula>"="</formula>
    </cfRule>
  </conditionalFormatting>
  <conditionalFormatting sqref="I6:K6 J9:K9 J13:K13">
    <cfRule type="expression" dxfId="1815" priority="2542">
      <formula>"="</formula>
    </cfRule>
  </conditionalFormatting>
  <conditionalFormatting sqref="J10:K12 I18:K18 J14:K17 J20:K23">
    <cfRule type="expression" dxfId="1814" priority="2541">
      <formula>"="</formula>
    </cfRule>
  </conditionalFormatting>
  <conditionalFormatting sqref="A1">
    <cfRule type="expression" dxfId="1813" priority="2524">
      <formula>"="</formula>
    </cfRule>
  </conditionalFormatting>
  <conditionalFormatting sqref="A1">
    <cfRule type="expression" dxfId="1812" priority="2523">
      <formula>"="</formula>
    </cfRule>
  </conditionalFormatting>
  <conditionalFormatting sqref="B1">
    <cfRule type="expression" dxfId="1811" priority="2522">
      <formula>"="</formula>
    </cfRule>
  </conditionalFormatting>
  <conditionalFormatting sqref="B1">
    <cfRule type="expression" dxfId="1810" priority="2521">
      <formula>"="</formula>
    </cfRule>
  </conditionalFormatting>
  <conditionalFormatting sqref="C1:E1">
    <cfRule type="expression" dxfId="1809" priority="2519">
      <formula>"="</formula>
    </cfRule>
  </conditionalFormatting>
  <conditionalFormatting sqref="C1:E1">
    <cfRule type="expression" dxfId="1808" priority="2520">
      <formula>"="</formula>
    </cfRule>
  </conditionalFormatting>
  <conditionalFormatting sqref="D5">
    <cfRule type="expression" dxfId="1807" priority="2518">
      <formula>"="</formula>
    </cfRule>
  </conditionalFormatting>
  <conditionalFormatting sqref="D6">
    <cfRule type="expression" dxfId="1806" priority="2517">
      <formula>"="</formula>
    </cfRule>
  </conditionalFormatting>
  <conditionalFormatting sqref="E10:E16">
    <cfRule type="expression" dxfId="1805" priority="2483">
      <formula>"="</formula>
    </cfRule>
  </conditionalFormatting>
  <conditionalFormatting sqref="E34 J34:K34">
    <cfRule type="expression" dxfId="1804" priority="2482">
      <formula>"="</formula>
    </cfRule>
  </conditionalFormatting>
  <conditionalFormatting sqref="D34">
    <cfRule type="expression" dxfId="1803" priority="2480">
      <formula>"="</formula>
    </cfRule>
  </conditionalFormatting>
  <conditionalFormatting sqref="E25 E27:E33">
    <cfRule type="expression" dxfId="1802" priority="2479">
      <formula>"="</formula>
    </cfRule>
  </conditionalFormatting>
  <conditionalFormatting sqref="D25 D27:D33">
    <cfRule type="expression" dxfId="1801" priority="2478">
      <formula>"="</formula>
    </cfRule>
  </conditionalFormatting>
  <conditionalFormatting sqref="I25:K25 J27:J33">
    <cfRule type="expression" dxfId="1800" priority="2477">
      <formula>"="</formula>
    </cfRule>
  </conditionalFormatting>
  <conditionalFormatting sqref="E44 J44:K44">
    <cfRule type="expression" dxfId="1799" priority="2474">
      <formula>"="</formula>
    </cfRule>
  </conditionalFormatting>
  <conditionalFormatting sqref="D45">
    <cfRule type="expression" dxfId="1798" priority="2462">
      <formula>"="</formula>
    </cfRule>
  </conditionalFormatting>
  <conditionalFormatting sqref="E35">
    <cfRule type="expression" dxfId="1797" priority="2471">
      <formula>"="</formula>
    </cfRule>
  </conditionalFormatting>
  <conditionalFormatting sqref="D35">
    <cfRule type="expression" dxfId="1796" priority="2470">
      <formula>"="</formula>
    </cfRule>
  </conditionalFormatting>
  <conditionalFormatting sqref="I35:K35">
    <cfRule type="expression" dxfId="1795" priority="2469">
      <formula>"="</formula>
    </cfRule>
  </conditionalFormatting>
  <conditionalFormatting sqref="E53 J53:K53">
    <cfRule type="expression" dxfId="1794" priority="2466">
      <formula>"="</formula>
    </cfRule>
  </conditionalFormatting>
  <conditionalFormatting sqref="D53">
    <cfRule type="expression" dxfId="1793" priority="2464">
      <formula>"="</formula>
    </cfRule>
  </conditionalFormatting>
  <conditionalFormatting sqref="E45">
    <cfRule type="expression" dxfId="1792" priority="2463">
      <formula>"="</formula>
    </cfRule>
  </conditionalFormatting>
  <conditionalFormatting sqref="I45:K45">
    <cfRule type="expression" dxfId="1791" priority="2461">
      <formula>"="</formula>
    </cfRule>
  </conditionalFormatting>
  <conditionalFormatting sqref="E67 J67:K67">
    <cfRule type="expression" dxfId="1790" priority="2458">
      <formula>"="</formula>
    </cfRule>
  </conditionalFormatting>
  <conditionalFormatting sqref="D77">
    <cfRule type="expression" dxfId="1789" priority="2448">
      <formula>"="</formula>
    </cfRule>
  </conditionalFormatting>
  <conditionalFormatting sqref="G54:G55 E57:E66 H54">
    <cfRule type="expression" dxfId="1788" priority="2455">
      <formula>"="</formula>
    </cfRule>
  </conditionalFormatting>
  <conditionalFormatting sqref="D54">
    <cfRule type="expression" dxfId="1787" priority="2454">
      <formula>"="</formula>
    </cfRule>
  </conditionalFormatting>
  <conditionalFormatting sqref="I54 J57:J66 K54">
    <cfRule type="expression" dxfId="1786" priority="2453">
      <formula>"="</formula>
    </cfRule>
  </conditionalFormatting>
  <conditionalFormatting sqref="E77 I77:J77">
    <cfRule type="expression" dxfId="1785" priority="2450">
      <formula>"="</formula>
    </cfRule>
  </conditionalFormatting>
  <conditionalFormatting sqref="G68:G69 E71:E76 H68">
    <cfRule type="expression" dxfId="1784" priority="2447">
      <formula>"="</formula>
    </cfRule>
  </conditionalFormatting>
  <conditionalFormatting sqref="D68">
    <cfRule type="expression" dxfId="1783" priority="2446">
      <formula>"="</formula>
    </cfRule>
  </conditionalFormatting>
  <conditionalFormatting sqref="I68 I70:J76 K68">
    <cfRule type="expression" dxfId="1782" priority="2445">
      <formula>"="</formula>
    </cfRule>
  </conditionalFormatting>
  <conditionalFormatting sqref="D20:D24">
    <cfRule type="expression" dxfId="1781" priority="2414">
      <formula>"="</formula>
    </cfRule>
  </conditionalFormatting>
  <conditionalFormatting sqref="B18 B20:B25 B27:B35">
    <cfRule type="expression" dxfId="1780" priority="2416">
      <formula>"="</formula>
    </cfRule>
  </conditionalFormatting>
  <conditionalFormatting sqref="I27:I34">
    <cfRule type="expression" dxfId="1779" priority="2405">
      <formula>"="</formula>
    </cfRule>
  </conditionalFormatting>
  <conditionalFormatting sqref="I20:I24">
    <cfRule type="expression" dxfId="1778" priority="2412">
      <formula>"="</formula>
    </cfRule>
  </conditionalFormatting>
  <conditionalFormatting sqref="B18 B20:B25 B27:B35">
    <cfRule type="expression" dxfId="1777" priority="2415">
      <formula>"="</formula>
    </cfRule>
  </conditionalFormatting>
  <conditionalFormatting sqref="E108:E113 G108">
    <cfRule type="expression" dxfId="1776" priority="2359">
      <formula>"="</formula>
    </cfRule>
  </conditionalFormatting>
  <conditionalFormatting sqref="H28:H34">
    <cfRule type="expression" dxfId="1775" priority="2407">
      <formula>"="</formula>
    </cfRule>
  </conditionalFormatting>
  <conditionalFormatting sqref="G27:G34">
    <cfRule type="expression" dxfId="1774" priority="2409">
      <formula>"="</formula>
    </cfRule>
  </conditionalFormatting>
  <conditionalFormatting sqref="I56:I67">
    <cfRule type="expression" dxfId="1773" priority="2374">
      <formula>"="</formula>
    </cfRule>
  </conditionalFormatting>
  <conditionalFormatting sqref="I37:I44">
    <cfRule type="expression" dxfId="1772" priority="2392">
      <formula>"="</formula>
    </cfRule>
  </conditionalFormatting>
  <conditionalFormatting sqref="K27:K33">
    <cfRule type="expression" dxfId="1771" priority="2391">
      <formula>"="</formula>
    </cfRule>
  </conditionalFormatting>
  <conditionalFormatting sqref="K36">
    <cfRule type="expression" dxfId="1770" priority="2390">
      <formula>"="</formula>
    </cfRule>
  </conditionalFormatting>
  <conditionalFormatting sqref="I47:I53">
    <cfRule type="expression" dxfId="1769" priority="2385">
      <formula>"="</formula>
    </cfRule>
  </conditionalFormatting>
  <conditionalFormatting sqref="E98 E106 E114 E130 E140 E156 E168 E184 E196 E205 E213 E221 E231 E253 I98:K98 J106:K106 I114:K114 J130:K130 I140:K140 I156:K156 I168:K168 J184:K184 I196:K196 J205:K205 I213:K213 I221:K221 I231:K231 I253:K253 K265">
    <cfRule type="expression" dxfId="1768" priority="2383">
      <formula>"="</formula>
    </cfRule>
  </conditionalFormatting>
  <conditionalFormatting sqref="D98 D106 D114 D130 D140 D156 D168 D184 D196 D205 D213 D221 D231 D253">
    <cfRule type="expression" dxfId="1767" priority="2382">
      <formula>"="</formula>
    </cfRule>
  </conditionalFormatting>
  <conditionalFormatting sqref="E107 E78 E99:E105 H115 E117:E129 E133:E139 E159:E167 E171:E183 E187:E195 E199:E204 E208:E212 E216:E220 E224:E230 E232 G100">
    <cfRule type="expression" dxfId="1766" priority="2381">
      <formula>"="</formula>
    </cfRule>
  </conditionalFormatting>
  <conditionalFormatting sqref="D78 D117:D129 D133:D139 D159:D167 D171:D183 D187:D195 D232 B107 B99:B100 E100 D107:E107 D99:E99 G100 D199:D204 D208:D212 D216:D220 D224:D230">
    <cfRule type="expression" dxfId="1765" priority="2380">
      <formula>"="</formula>
    </cfRule>
  </conditionalFormatting>
  <conditionalFormatting sqref="I78 I99:K99 I107 I115 K157 K169 K197 I80:J97 J117:J129 K131 I133:J139 I159:J167 J171:J183 K185 I187:J195 J199:J204 I209:J212 I217:J220 I224:J230 I232:K232 I234:J252 J233 K78 K107 K115 J208 J216">
    <cfRule type="expression" dxfId="1764" priority="2379">
      <formula>"="</formula>
    </cfRule>
  </conditionalFormatting>
  <conditionalFormatting sqref="H172:H184">
    <cfRule type="expression" dxfId="1763" priority="2329">
      <formula>"="</formula>
    </cfRule>
  </conditionalFormatting>
  <conditionalFormatting sqref="I109:I113">
    <cfRule type="expression" dxfId="1762" priority="2351">
      <formula>"="</formula>
    </cfRule>
  </conditionalFormatting>
  <conditionalFormatting sqref="I101:I106">
    <cfRule type="expression" dxfId="1761" priority="2361">
      <formula>"="</formula>
    </cfRule>
  </conditionalFormatting>
  <conditionalFormatting sqref="B108 E108 G108">
    <cfRule type="expression" dxfId="1760" priority="2358">
      <formula>"="</formula>
    </cfRule>
  </conditionalFormatting>
  <conditionalFormatting sqref="J109:J113">
    <cfRule type="expression" dxfId="1759" priority="2357">
      <formula>"="</formula>
    </cfRule>
  </conditionalFormatting>
  <conditionalFormatting sqref="I200:I205">
    <cfRule type="expression" dxfId="1758" priority="2319">
      <formula>"="</formula>
    </cfRule>
  </conditionalFormatting>
  <conditionalFormatting sqref="G133:G140">
    <cfRule type="expression" dxfId="1757" priority="2343">
      <formula>"="</formula>
    </cfRule>
  </conditionalFormatting>
  <conditionalFormatting sqref="K208:K212">
    <cfRule type="expression" dxfId="1756" priority="2312">
      <formula>"="</formula>
    </cfRule>
  </conditionalFormatting>
  <conditionalFormatting sqref="H217:H221">
    <cfRule type="expression" dxfId="1755" priority="2311">
      <formula>"="</formula>
    </cfRule>
  </conditionalFormatting>
  <conditionalFormatting sqref="H134:H140">
    <cfRule type="expression" dxfId="1754" priority="2340">
      <formula>"="</formula>
    </cfRule>
  </conditionalFormatting>
  <conditionalFormatting sqref="H144:H156">
    <cfRule type="expression" dxfId="1753" priority="2337">
      <formula>"="</formula>
    </cfRule>
  </conditionalFormatting>
  <conditionalFormatting sqref="B292 B307 B421">
    <cfRule type="expression" dxfId="1752" priority="2307">
      <formula>"="</formula>
    </cfRule>
  </conditionalFormatting>
  <conditionalFormatting sqref="E307 E374 E409 I409:K409 J421:K421 I307:K307 I374:K374">
    <cfRule type="expression" dxfId="1751" priority="2305">
      <formula>"="</formula>
    </cfRule>
  </conditionalFormatting>
  <conditionalFormatting sqref="H160:H168">
    <cfRule type="expression" dxfId="1750" priority="2333">
      <formula>"="</formula>
    </cfRule>
  </conditionalFormatting>
  <conditionalFormatting sqref="I171:I184">
    <cfRule type="expression" dxfId="1749" priority="2328">
      <formula>"="</formula>
    </cfRule>
  </conditionalFormatting>
  <conditionalFormatting sqref="E440 E566 E593 I593:K593 I440:K440 I448:K448 I566:K566">
    <cfRule type="expression" dxfId="1748" priority="2298">
      <formula>"="</formula>
    </cfRule>
  </conditionalFormatting>
  <conditionalFormatting sqref="H188:H196">
    <cfRule type="expression" dxfId="1747" priority="2325">
      <formula>"="</formula>
    </cfRule>
  </conditionalFormatting>
  <conditionalFormatting sqref="H422 E427:E439 E445:E448 E543">
    <cfRule type="expression" dxfId="1746" priority="2296">
      <formula>"="</formula>
    </cfRule>
  </conditionalFormatting>
  <conditionalFormatting sqref="H200:H205">
    <cfRule type="expression" dxfId="1745" priority="2322">
      <formula>"="</formula>
    </cfRule>
  </conditionalFormatting>
  <conditionalFormatting sqref="I422 I543:K543 J426:J439 I447:J447 J445:J446 K422">
    <cfRule type="expression" dxfId="1744" priority="2294">
      <formula>"="</formula>
    </cfRule>
  </conditionalFormatting>
  <conditionalFormatting sqref="H209:H213">
    <cfRule type="expression" dxfId="1743" priority="2318">
      <formula>"="</formula>
    </cfRule>
  </conditionalFormatting>
  <conditionalFormatting sqref="E601 E609 E623 E634 I601:K601 I609:K609 I623:K623 I634:K634">
    <cfRule type="expression" dxfId="1742" priority="2291">
      <formula>"="</formula>
    </cfRule>
  </conditionalFormatting>
  <conditionalFormatting sqref="I594:K594 I602:K602 I610:K610 I624:K624">
    <cfRule type="expression" dxfId="1741" priority="2287">
      <formula>"="</formula>
    </cfRule>
  </conditionalFormatting>
  <conditionalFormatting sqref="K216:K220">
    <cfRule type="expression" dxfId="1740" priority="2308">
      <formula>"="</formula>
    </cfRule>
  </conditionalFormatting>
  <conditionalFormatting sqref="B292 B307 B421">
    <cfRule type="expression" dxfId="1739" priority="2306">
      <formula>"="</formula>
    </cfRule>
  </conditionalFormatting>
  <conditionalFormatting sqref="D307 D374 D409">
    <cfRule type="expression" dxfId="1738" priority="2304">
      <formula>"="</formula>
    </cfRule>
  </conditionalFormatting>
  <conditionalFormatting sqref="D404:D408">
    <cfRule type="expression" dxfId="1737" priority="2302">
      <formula>"="</formula>
    </cfRule>
  </conditionalFormatting>
  <conditionalFormatting sqref="K290 K401 I404:J408 K410 J292:J306 J365:J373">
    <cfRule type="expression" dxfId="1736" priority="2301">
      <formula>"="</formula>
    </cfRule>
  </conditionalFormatting>
  <conditionalFormatting sqref="D448 D566 D593">
    <cfRule type="expression" dxfId="1735" priority="2297">
      <formula>"="</formula>
    </cfRule>
  </conditionalFormatting>
  <conditionalFormatting sqref="D543">
    <cfRule type="expression" dxfId="1734" priority="2295">
      <formula>"="</formula>
    </cfRule>
  </conditionalFormatting>
  <conditionalFormatting sqref="D601 D609 D623 D634">
    <cfRule type="expression" dxfId="1733" priority="2290">
      <formula>"="</formula>
    </cfRule>
  </conditionalFormatting>
  <conditionalFormatting sqref="D594 D602 D610 D624">
    <cfRule type="expression" dxfId="1732" priority="2288">
      <formula>"="</formula>
    </cfRule>
  </conditionalFormatting>
  <conditionalFormatting sqref="E647 E684 E698 E712 I647:K647 I684:K684 I698:K698 I712:K712">
    <cfRule type="expression" dxfId="1731" priority="2284">
      <formula>"="</formula>
    </cfRule>
  </conditionalFormatting>
  <conditionalFormatting sqref="D647 D684 D698 D712">
    <cfRule type="expression" dxfId="1730" priority="2283">
      <formula>"="</formula>
    </cfRule>
  </conditionalFormatting>
  <conditionalFormatting sqref="D635 D685 D699">
    <cfRule type="expression" dxfId="1729" priority="2281">
      <formula>"="</formula>
    </cfRule>
  </conditionalFormatting>
  <conditionalFormatting sqref="I635:K635 I685:K685 I699:K699">
    <cfRule type="expression" dxfId="1728" priority="2280">
      <formula>"="</formula>
    </cfRule>
  </conditionalFormatting>
  <conditionalFormatting sqref="H225:H231">
    <cfRule type="expression" dxfId="1727" priority="2279">
      <formula>"="</formula>
    </cfRule>
  </conditionalFormatting>
  <conditionalFormatting sqref="K224:K230">
    <cfRule type="expression" dxfId="1726" priority="2276">
      <formula>"="</formula>
    </cfRule>
  </conditionalFormatting>
  <conditionalFormatting sqref="I69">
    <cfRule type="expression" dxfId="1725" priority="2248">
      <formula>"="</formula>
    </cfRule>
  </conditionalFormatting>
  <conditionalFormatting sqref="I233">
    <cfRule type="expression" dxfId="1724" priority="2234">
      <formula>"="</formula>
    </cfRule>
  </conditionalFormatting>
  <conditionalFormatting sqref="H404:H409">
    <cfRule type="expression" dxfId="1723" priority="2226">
      <formula>"="</formula>
    </cfRule>
  </conditionalFormatting>
  <conditionalFormatting sqref="I423">
    <cfRule type="expression" dxfId="1722" priority="2213">
      <formula>"="</formula>
    </cfRule>
  </conditionalFormatting>
  <conditionalFormatting sqref="D421">
    <cfRule type="expression" dxfId="1721" priority="2225">
      <formula>"="</formula>
    </cfRule>
  </conditionalFormatting>
  <conditionalFormatting sqref="G421">
    <cfRule type="expression" dxfId="1720" priority="2223">
      <formula>"="</formula>
    </cfRule>
  </conditionalFormatting>
  <conditionalFormatting sqref="I421">
    <cfRule type="expression" dxfId="1719" priority="2221">
      <formula>"="</formula>
    </cfRule>
  </conditionalFormatting>
  <conditionalFormatting sqref="D422">
    <cfRule type="expression" dxfId="1718" priority="2217">
      <formula>"="</formula>
    </cfRule>
  </conditionalFormatting>
  <conditionalFormatting sqref="G427:G440">
    <cfRule type="expression" dxfId="1717" priority="2216">
      <formula>"="</formula>
    </cfRule>
  </conditionalFormatting>
  <conditionalFormatting sqref="I424:I439">
    <cfRule type="expression" dxfId="1716" priority="2214">
      <formula>"="</formula>
    </cfRule>
  </conditionalFormatting>
  <conditionalFormatting sqref="H445:H448">
    <cfRule type="expression" dxfId="1715" priority="2209">
      <formula>"="</formula>
    </cfRule>
  </conditionalFormatting>
  <conditionalFormatting sqref="D445:D447">
    <cfRule type="expression" dxfId="1714" priority="2211">
      <formula>"="</formula>
    </cfRule>
  </conditionalFormatting>
  <conditionalFormatting sqref="G445:G447">
    <cfRule type="expression" dxfId="1713" priority="2210">
      <formula>"="</formula>
    </cfRule>
  </conditionalFormatting>
  <conditionalFormatting sqref="I445:I446">
    <cfRule type="expression" dxfId="1712" priority="2208">
      <formula>"="</formula>
    </cfRule>
  </conditionalFormatting>
  <conditionalFormatting sqref="I545:I565">
    <cfRule type="expression" dxfId="1711" priority="2204">
      <formula>"="</formula>
    </cfRule>
  </conditionalFormatting>
  <conditionalFormatting sqref="I596:I600">
    <cfRule type="expression" dxfId="1710" priority="2194">
      <formula>"="</formula>
    </cfRule>
  </conditionalFormatting>
  <conditionalFormatting sqref="I608">
    <cfRule type="expression" dxfId="1709" priority="2190">
      <formula>"="</formula>
    </cfRule>
  </conditionalFormatting>
  <conditionalFormatting sqref="I622">
    <cfRule type="expression" dxfId="1708" priority="2184">
      <formula>"="</formula>
    </cfRule>
  </conditionalFormatting>
  <conditionalFormatting sqref="E730 E907 I730:K730 I907:K907">
    <cfRule type="expression" dxfId="1707" priority="2177">
      <formula>"="</formula>
    </cfRule>
  </conditionalFormatting>
  <conditionalFormatting sqref="D730 D907">
    <cfRule type="expression" dxfId="1706" priority="2176">
      <formula>"="</formula>
    </cfRule>
  </conditionalFormatting>
  <conditionalFormatting sqref="D713">
    <cfRule type="expression" dxfId="1705" priority="2174">
      <formula>"="</formula>
    </cfRule>
  </conditionalFormatting>
  <conditionalFormatting sqref="I713:K713">
    <cfRule type="expression" dxfId="1704" priority="2173">
      <formula>"="</formula>
    </cfRule>
  </conditionalFormatting>
  <conditionalFormatting sqref="E767 I767:K767">
    <cfRule type="expression" dxfId="1703" priority="2154">
      <formula>"="</formula>
    </cfRule>
  </conditionalFormatting>
  <conditionalFormatting sqref="D767">
    <cfRule type="expression" dxfId="1702" priority="2153">
      <formula>"="</formula>
    </cfRule>
  </conditionalFormatting>
  <conditionalFormatting sqref="G658">
    <cfRule type="expression" dxfId="1701" priority="1948">
      <formula>"="</formula>
    </cfRule>
  </conditionalFormatting>
  <conditionalFormatting sqref="D731">
    <cfRule type="expression" dxfId="1700" priority="2151">
      <formula>"="</formula>
    </cfRule>
  </conditionalFormatting>
  <conditionalFormatting sqref="I731:K731">
    <cfRule type="expression" dxfId="1699" priority="2150">
      <formula>"="</formula>
    </cfRule>
  </conditionalFormatting>
  <conditionalFormatting sqref="E814 I814:K814 J815:K825 E826:E842 I826:K843">
    <cfRule type="expression" dxfId="1698" priority="2147">
      <formula>"="</formula>
    </cfRule>
  </conditionalFormatting>
  <conditionalFormatting sqref="D814 D826:D842">
    <cfRule type="expression" dxfId="1697" priority="2146">
      <formula>"="</formula>
    </cfRule>
  </conditionalFormatting>
  <conditionalFormatting sqref="G662">
    <cfRule type="expression" dxfId="1696" priority="1944">
      <formula>"="</formula>
    </cfRule>
  </conditionalFormatting>
  <conditionalFormatting sqref="D768">
    <cfRule type="expression" dxfId="1695" priority="2144">
      <formula>"="</formula>
    </cfRule>
  </conditionalFormatting>
  <conditionalFormatting sqref="I768:K768">
    <cfRule type="expression" dxfId="1694" priority="2143">
      <formula>"="</formula>
    </cfRule>
  </conditionalFormatting>
  <conditionalFormatting sqref="K445:K447">
    <cfRule type="expression" dxfId="1693" priority="2127">
      <formula>"="</formula>
    </cfRule>
  </conditionalFormatting>
  <conditionalFormatting sqref="B911:B920">
    <cfRule type="expression" dxfId="1692" priority="2113">
      <formula>"="</formula>
    </cfRule>
  </conditionalFormatting>
  <conditionalFormatting sqref="B911:B920">
    <cfRule type="expression" dxfId="1691" priority="2112">
      <formula>"="</formula>
    </cfRule>
  </conditionalFormatting>
  <conditionalFormatting sqref="E920 I920:K920">
    <cfRule type="expression" dxfId="1690" priority="2111">
      <formula>"="</formula>
    </cfRule>
  </conditionalFormatting>
  <conditionalFormatting sqref="D920">
    <cfRule type="expression" dxfId="1689" priority="2110">
      <formula>"="</formula>
    </cfRule>
  </conditionalFormatting>
  <conditionalFormatting sqref="E911:E919">
    <cfRule type="expression" dxfId="1688" priority="2109">
      <formula>"="</formula>
    </cfRule>
  </conditionalFormatting>
  <conditionalFormatting sqref="I919:J919 J911:J918">
    <cfRule type="expression" dxfId="1687" priority="2107">
      <formula>"="</formula>
    </cfRule>
  </conditionalFormatting>
  <conditionalFormatting sqref="B924:B935">
    <cfRule type="expression" dxfId="1686" priority="2106">
      <formula>"="</formula>
    </cfRule>
  </conditionalFormatting>
  <conditionalFormatting sqref="B924:B935">
    <cfRule type="expression" dxfId="1685" priority="2105">
      <formula>"="</formula>
    </cfRule>
  </conditionalFormatting>
  <conditionalFormatting sqref="E935 I935:K935">
    <cfRule type="expression" dxfId="1684" priority="2104">
      <formula>"="</formula>
    </cfRule>
  </conditionalFormatting>
  <conditionalFormatting sqref="D935">
    <cfRule type="expression" dxfId="1683" priority="2103">
      <formula>"="</formula>
    </cfRule>
  </conditionalFormatting>
  <conditionalFormatting sqref="E924:E934">
    <cfRule type="expression" dxfId="1682" priority="2102">
      <formula>"="</formula>
    </cfRule>
  </conditionalFormatting>
  <conditionalFormatting sqref="I931:J934 J924:J930">
    <cfRule type="expression" dxfId="1681" priority="2100">
      <formula>"="</formula>
    </cfRule>
  </conditionalFormatting>
  <conditionalFormatting sqref="D898:D906">
    <cfRule type="expression" dxfId="1680" priority="2099">
      <formula>"="</formula>
    </cfRule>
  </conditionalFormatting>
  <conditionalFormatting sqref="G898:G906">
    <cfRule type="expression" dxfId="1679" priority="2098">
      <formula>"="</formula>
    </cfRule>
  </conditionalFormatting>
  <conditionalFormatting sqref="H899:H907">
    <cfRule type="expression" dxfId="1678" priority="2097">
      <formula>"="</formula>
    </cfRule>
  </conditionalFormatting>
  <conditionalFormatting sqref="I898:I905">
    <cfRule type="expression" dxfId="1677" priority="2096">
      <formula>"="</formula>
    </cfRule>
  </conditionalFormatting>
  <conditionalFormatting sqref="D911:D918">
    <cfRule type="expression" dxfId="1676" priority="2095">
      <formula>"="</formula>
    </cfRule>
  </conditionalFormatting>
  <conditionalFormatting sqref="G911:G919">
    <cfRule type="expression" dxfId="1675" priority="2094">
      <formula>"="</formula>
    </cfRule>
  </conditionalFormatting>
  <conditionalFormatting sqref="H911:H920">
    <cfRule type="expression" dxfId="1674" priority="2093">
      <formula>"="</formula>
    </cfRule>
  </conditionalFormatting>
  <conditionalFormatting sqref="I911:I918">
    <cfRule type="expression" dxfId="1673" priority="2092">
      <formula>"="</formula>
    </cfRule>
  </conditionalFormatting>
  <conditionalFormatting sqref="D924:D934">
    <cfRule type="expression" dxfId="1672" priority="2089">
      <formula>"="</formula>
    </cfRule>
  </conditionalFormatting>
  <conditionalFormatting sqref="G924:G935">
    <cfRule type="expression" dxfId="1671" priority="2088">
      <formula>"="</formula>
    </cfRule>
  </conditionalFormatting>
  <conditionalFormatting sqref="H924:H935">
    <cfRule type="expression" dxfId="1670" priority="2087">
      <formula>"="</formula>
    </cfRule>
  </conditionalFormatting>
  <conditionalFormatting sqref="I924:I930">
    <cfRule type="expression" dxfId="1669" priority="2086">
      <formula>"="</formula>
    </cfRule>
  </conditionalFormatting>
  <conditionalFormatting sqref="K911:K919">
    <cfRule type="expression" dxfId="1668" priority="2082">
      <formula>"="</formula>
    </cfRule>
  </conditionalFormatting>
  <conditionalFormatting sqref="K924:K934">
    <cfRule type="expression" dxfId="1667" priority="2081">
      <formula>"="</formula>
    </cfRule>
  </conditionalFormatting>
  <conditionalFormatting sqref="B542">
    <cfRule type="expression" dxfId="1666" priority="2075">
      <formula>"="</formula>
    </cfRule>
  </conditionalFormatting>
  <conditionalFormatting sqref="B542">
    <cfRule type="expression" dxfId="1665" priority="2074">
      <formula>"="</formula>
    </cfRule>
  </conditionalFormatting>
  <conditionalFormatting sqref="I542:K542">
    <cfRule type="expression" dxfId="1664" priority="2073">
      <formula>"="</formula>
    </cfRule>
  </conditionalFormatting>
  <conditionalFormatting sqref="E542">
    <cfRule type="expression" dxfId="1663" priority="2071">
      <formula>"="</formula>
    </cfRule>
  </conditionalFormatting>
  <conditionalFormatting sqref="D542">
    <cfRule type="expression" dxfId="1662" priority="2072">
      <formula>"="</formula>
    </cfRule>
  </conditionalFormatting>
  <conditionalFormatting sqref="I449:K449">
    <cfRule type="expression" dxfId="1661" priority="2065">
      <formula>"="</formula>
    </cfRule>
  </conditionalFormatting>
  <conditionalFormatting sqref="B449 B520">
    <cfRule type="expression" dxfId="1660" priority="2069">
      <formula>"="</formula>
    </cfRule>
  </conditionalFormatting>
  <conditionalFormatting sqref="B449 B520">
    <cfRule type="expression" dxfId="1659" priority="2068">
      <formula>"="</formula>
    </cfRule>
  </conditionalFormatting>
  <conditionalFormatting sqref="D449">
    <cfRule type="expression" dxfId="1658" priority="2066">
      <formula>"="</formula>
    </cfRule>
  </conditionalFormatting>
  <conditionalFormatting sqref="B519">
    <cfRule type="expression" dxfId="1657" priority="2062">
      <formula>"="</formula>
    </cfRule>
  </conditionalFormatting>
  <conditionalFormatting sqref="B519">
    <cfRule type="expression" dxfId="1656" priority="2061">
      <formula>"="</formula>
    </cfRule>
  </conditionalFormatting>
  <conditionalFormatting sqref="B460:B489">
    <cfRule type="expression" dxfId="1655" priority="2060">
      <formula>"="</formula>
    </cfRule>
  </conditionalFormatting>
  <conditionalFormatting sqref="B460:B489">
    <cfRule type="expression" dxfId="1654" priority="2059">
      <formula>"="</formula>
    </cfRule>
  </conditionalFormatting>
  <conditionalFormatting sqref="B536:B537">
    <cfRule type="expression" dxfId="1653" priority="2056">
      <formula>"="</formula>
    </cfRule>
  </conditionalFormatting>
  <conditionalFormatting sqref="B536:B537">
    <cfRule type="expression" dxfId="1652" priority="2055">
      <formula>"="</formula>
    </cfRule>
  </conditionalFormatting>
  <conditionalFormatting sqref="I508 I510 I512 I514 I516 I518 I520 I522 I524 I526 I528 I530 I532:I541">
    <cfRule type="expression" dxfId="1651" priority="2048">
      <formula>"="</formula>
    </cfRule>
  </conditionalFormatting>
  <conditionalFormatting sqref="I450">
    <cfRule type="expression" dxfId="1650" priority="2047">
      <formula>"="</formula>
    </cfRule>
  </conditionalFormatting>
  <conditionalFormatting sqref="G292:G306">
    <cfRule type="expression" dxfId="1649" priority="2045">
      <formula>"="</formula>
    </cfRule>
  </conditionalFormatting>
  <conditionalFormatting sqref="H293:H307">
    <cfRule type="expression" dxfId="1648" priority="2044">
      <formula>"="</formula>
    </cfRule>
  </conditionalFormatting>
  <conditionalFormatting sqref="D292:D306">
    <cfRule type="expression" dxfId="1647" priority="2046">
      <formula>"="</formula>
    </cfRule>
  </conditionalFormatting>
  <conditionalFormatting sqref="D365:D373">
    <cfRule type="expression" dxfId="1646" priority="2042">
      <formula>"="</formula>
    </cfRule>
  </conditionalFormatting>
  <conditionalFormatting sqref="G365:G374">
    <cfRule type="expression" dxfId="1645" priority="2041">
      <formula>"="</formula>
    </cfRule>
  </conditionalFormatting>
  <conditionalFormatting sqref="H365:H374">
    <cfRule type="expression" dxfId="1644" priority="2040">
      <formula>"="</formula>
    </cfRule>
  </conditionalFormatting>
  <conditionalFormatting sqref="I292:I306">
    <cfRule type="expression" dxfId="1643" priority="2039">
      <formula>"="</formula>
    </cfRule>
  </conditionalFormatting>
  <conditionalFormatting sqref="I365:I373">
    <cfRule type="expression" dxfId="1642" priority="2038">
      <formula>"="</formula>
    </cfRule>
  </conditionalFormatting>
  <conditionalFormatting sqref="K365:K373">
    <cfRule type="expression" dxfId="1641" priority="2033">
      <formula>"="</formula>
    </cfRule>
  </conditionalFormatting>
  <conditionalFormatting sqref="B264">
    <cfRule type="expression" dxfId="1640" priority="2032">
      <formula>"="</formula>
    </cfRule>
  </conditionalFormatting>
  <conditionalFormatting sqref="B264">
    <cfRule type="expression" dxfId="1639" priority="2031">
      <formula>"="</formula>
    </cfRule>
  </conditionalFormatting>
  <conditionalFormatting sqref="E19 H20:H23">
    <cfRule type="expression" dxfId="1638" priority="2025">
      <formula>"="</formula>
    </cfRule>
  </conditionalFormatting>
  <conditionalFormatting sqref="K19">
    <cfRule type="expression" dxfId="1637" priority="2024">
      <formula>"="</formula>
    </cfRule>
  </conditionalFormatting>
  <conditionalFormatting sqref="G19">
    <cfRule type="expression" dxfId="1636" priority="2022">
      <formula>"="</formula>
    </cfRule>
  </conditionalFormatting>
  <conditionalFormatting sqref="B19">
    <cfRule type="expression" dxfId="1635" priority="2020">
      <formula>"="</formula>
    </cfRule>
  </conditionalFormatting>
  <conditionalFormatting sqref="J26:K26">
    <cfRule type="expression" dxfId="1634" priority="2017">
      <formula>"="</formula>
    </cfRule>
  </conditionalFormatting>
  <conditionalFormatting sqref="B19">
    <cfRule type="expression" dxfId="1633" priority="2019">
      <formula>"="</formula>
    </cfRule>
  </conditionalFormatting>
  <conditionalFormatting sqref="E26 H27">
    <cfRule type="expression" dxfId="1632" priority="2018">
      <formula>"="</formula>
    </cfRule>
  </conditionalFormatting>
  <conditionalFormatting sqref="G26">
    <cfRule type="expression" dxfId="1631" priority="2015">
      <formula>"="</formula>
    </cfRule>
  </conditionalFormatting>
  <conditionalFormatting sqref="B26">
    <cfRule type="expression" dxfId="1630" priority="2013">
      <formula>"="</formula>
    </cfRule>
  </conditionalFormatting>
  <conditionalFormatting sqref="B26">
    <cfRule type="expression" dxfId="1629" priority="2012">
      <formula>"="</formula>
    </cfRule>
  </conditionalFormatting>
  <conditionalFormatting sqref="I648">
    <cfRule type="expression" dxfId="1628" priority="1988">
      <formula>"="</formula>
    </cfRule>
  </conditionalFormatting>
  <conditionalFormatting sqref="D648">
    <cfRule type="expression" dxfId="1627" priority="1986">
      <formula>"="</formula>
    </cfRule>
  </conditionalFormatting>
  <conditionalFormatting sqref="G648">
    <cfRule type="expression" dxfId="1626" priority="1984">
      <formula>"="</formula>
    </cfRule>
  </conditionalFormatting>
  <conditionalFormatting sqref="H648">
    <cfRule type="expression" dxfId="1625" priority="1982">
      <formula>"="</formula>
    </cfRule>
  </conditionalFormatting>
  <conditionalFormatting sqref="G652">
    <cfRule type="expression" dxfId="1624" priority="1954">
      <formula>"="</formula>
    </cfRule>
  </conditionalFormatting>
  <conditionalFormatting sqref="G653">
    <cfRule type="expression" dxfId="1623" priority="1953">
      <formula>"="</formula>
    </cfRule>
  </conditionalFormatting>
  <conditionalFormatting sqref="G654">
    <cfRule type="expression" dxfId="1622" priority="1952">
      <formula>"="</formula>
    </cfRule>
  </conditionalFormatting>
  <conditionalFormatting sqref="G655">
    <cfRule type="expression" dxfId="1621" priority="1951">
      <formula>"="</formula>
    </cfRule>
  </conditionalFormatting>
  <conditionalFormatting sqref="G656">
    <cfRule type="expression" dxfId="1620" priority="1950">
      <formula>"="</formula>
    </cfRule>
  </conditionalFormatting>
  <conditionalFormatting sqref="G657">
    <cfRule type="expression" dxfId="1619" priority="1949">
      <formula>"="</formula>
    </cfRule>
  </conditionalFormatting>
  <conditionalFormatting sqref="G659">
    <cfRule type="expression" dxfId="1618" priority="1947">
      <formula>"="</formula>
    </cfRule>
  </conditionalFormatting>
  <conditionalFormatting sqref="G660">
    <cfRule type="expression" dxfId="1617" priority="1946">
      <formula>"="</formula>
    </cfRule>
  </conditionalFormatting>
  <conditionalFormatting sqref="G661">
    <cfRule type="expression" dxfId="1616" priority="1945">
      <formula>"="</formula>
    </cfRule>
  </conditionalFormatting>
  <conditionalFormatting sqref="G663">
    <cfRule type="expression" dxfId="1615" priority="1943">
      <formula>"="</formula>
    </cfRule>
  </conditionalFormatting>
  <conditionalFormatting sqref="G664">
    <cfRule type="expression" dxfId="1614" priority="1942">
      <formula>"="</formula>
    </cfRule>
  </conditionalFormatting>
  <conditionalFormatting sqref="G665">
    <cfRule type="expression" dxfId="1613" priority="1941">
      <formula>"="</formula>
    </cfRule>
  </conditionalFormatting>
  <conditionalFormatting sqref="B636">
    <cfRule type="expression" dxfId="1612" priority="1940">
      <formula>"="</formula>
    </cfRule>
  </conditionalFormatting>
  <conditionalFormatting sqref="B636">
    <cfRule type="expression" dxfId="1611" priority="1939">
      <formula>"="</formula>
    </cfRule>
  </conditionalFormatting>
  <conditionalFormatting sqref="B637">
    <cfRule type="expression" dxfId="1610" priority="1936">
      <formula>"="</formula>
    </cfRule>
  </conditionalFormatting>
  <conditionalFormatting sqref="B637">
    <cfRule type="expression" dxfId="1609" priority="1935">
      <formula>"="</formula>
    </cfRule>
  </conditionalFormatting>
  <conditionalFormatting sqref="B638">
    <cfRule type="expression" dxfId="1608" priority="1934">
      <formula>"="</formula>
    </cfRule>
  </conditionalFormatting>
  <conditionalFormatting sqref="B638">
    <cfRule type="expression" dxfId="1607" priority="1933">
      <formula>"="</formula>
    </cfRule>
  </conditionalFormatting>
  <conditionalFormatting sqref="B639">
    <cfRule type="expression" dxfId="1606" priority="1932">
      <formula>"="</formula>
    </cfRule>
  </conditionalFormatting>
  <conditionalFormatting sqref="B639">
    <cfRule type="expression" dxfId="1605" priority="1931">
      <formula>"="</formula>
    </cfRule>
  </conditionalFormatting>
  <conditionalFormatting sqref="B640">
    <cfRule type="expression" dxfId="1604" priority="1930">
      <formula>"="</formula>
    </cfRule>
  </conditionalFormatting>
  <conditionalFormatting sqref="B640">
    <cfRule type="expression" dxfId="1603" priority="1929">
      <formula>"="</formula>
    </cfRule>
  </conditionalFormatting>
  <conditionalFormatting sqref="B641">
    <cfRule type="expression" dxfId="1602" priority="1928">
      <formula>"="</formula>
    </cfRule>
  </conditionalFormatting>
  <conditionalFormatting sqref="B641">
    <cfRule type="expression" dxfId="1601" priority="1927">
      <formula>"="</formula>
    </cfRule>
  </conditionalFormatting>
  <conditionalFormatting sqref="B642">
    <cfRule type="expression" dxfId="1600" priority="1926">
      <formula>"="</formula>
    </cfRule>
  </conditionalFormatting>
  <conditionalFormatting sqref="B642">
    <cfRule type="expression" dxfId="1599" priority="1925">
      <formula>"="</formula>
    </cfRule>
  </conditionalFormatting>
  <conditionalFormatting sqref="B643">
    <cfRule type="expression" dxfId="1598" priority="1924">
      <formula>"="</formula>
    </cfRule>
  </conditionalFormatting>
  <conditionalFormatting sqref="B643">
    <cfRule type="expression" dxfId="1597" priority="1923">
      <formula>"="</formula>
    </cfRule>
  </conditionalFormatting>
  <conditionalFormatting sqref="B644">
    <cfRule type="expression" dxfId="1596" priority="1922">
      <formula>"="</formula>
    </cfRule>
  </conditionalFormatting>
  <conditionalFormatting sqref="B644">
    <cfRule type="expression" dxfId="1595" priority="1921">
      <formula>"="</formula>
    </cfRule>
  </conditionalFormatting>
  <conditionalFormatting sqref="B645">
    <cfRule type="expression" dxfId="1594" priority="1920">
      <formula>"="</formula>
    </cfRule>
  </conditionalFormatting>
  <conditionalFormatting sqref="B645">
    <cfRule type="expression" dxfId="1593" priority="1919">
      <formula>"="</formula>
    </cfRule>
  </conditionalFormatting>
  <conditionalFormatting sqref="B646">
    <cfRule type="expression" dxfId="1592" priority="1918">
      <formula>"="</formula>
    </cfRule>
  </conditionalFormatting>
  <conditionalFormatting sqref="B646">
    <cfRule type="expression" dxfId="1591" priority="1917">
      <formula>"="</formula>
    </cfRule>
  </conditionalFormatting>
  <conditionalFormatting sqref="B647">
    <cfRule type="expression" dxfId="1590" priority="1916">
      <formula>"="</formula>
    </cfRule>
  </conditionalFormatting>
  <conditionalFormatting sqref="B647">
    <cfRule type="expression" dxfId="1589" priority="1915">
      <formula>"="</formula>
    </cfRule>
  </conditionalFormatting>
  <conditionalFormatting sqref="B649">
    <cfRule type="expression" dxfId="1588" priority="1914">
      <formula>"="</formula>
    </cfRule>
  </conditionalFormatting>
  <conditionalFormatting sqref="B649">
    <cfRule type="expression" dxfId="1587" priority="1913">
      <formula>"="</formula>
    </cfRule>
  </conditionalFormatting>
  <conditionalFormatting sqref="B650">
    <cfRule type="expression" dxfId="1586" priority="1910">
      <formula>"="</formula>
    </cfRule>
  </conditionalFormatting>
  <conditionalFormatting sqref="B650">
    <cfRule type="expression" dxfId="1585" priority="1909">
      <formula>"="</formula>
    </cfRule>
  </conditionalFormatting>
  <conditionalFormatting sqref="B651">
    <cfRule type="expression" dxfId="1584" priority="1908">
      <formula>"="</formula>
    </cfRule>
  </conditionalFormatting>
  <conditionalFormatting sqref="B651">
    <cfRule type="expression" dxfId="1583" priority="1907">
      <formula>"="</formula>
    </cfRule>
  </conditionalFormatting>
  <conditionalFormatting sqref="B652">
    <cfRule type="expression" dxfId="1582" priority="1906">
      <formula>"="</formula>
    </cfRule>
  </conditionalFormatting>
  <conditionalFormatting sqref="B652">
    <cfRule type="expression" dxfId="1581" priority="1905">
      <formula>"="</formula>
    </cfRule>
  </conditionalFormatting>
  <conditionalFormatting sqref="B653">
    <cfRule type="expression" dxfId="1580" priority="1904">
      <formula>"="</formula>
    </cfRule>
  </conditionalFormatting>
  <conditionalFormatting sqref="B653">
    <cfRule type="expression" dxfId="1579" priority="1903">
      <formula>"="</formula>
    </cfRule>
  </conditionalFormatting>
  <conditionalFormatting sqref="B654">
    <cfRule type="expression" dxfId="1578" priority="1902">
      <formula>"="</formula>
    </cfRule>
  </conditionalFormatting>
  <conditionalFormatting sqref="B654">
    <cfRule type="expression" dxfId="1577" priority="1901">
      <formula>"="</formula>
    </cfRule>
  </conditionalFormatting>
  <conditionalFormatting sqref="B655">
    <cfRule type="expression" dxfId="1576" priority="1900">
      <formula>"="</formula>
    </cfRule>
  </conditionalFormatting>
  <conditionalFormatting sqref="B655">
    <cfRule type="expression" dxfId="1575" priority="1899">
      <formula>"="</formula>
    </cfRule>
  </conditionalFormatting>
  <conditionalFormatting sqref="B656">
    <cfRule type="expression" dxfId="1574" priority="1898">
      <formula>"="</formula>
    </cfRule>
  </conditionalFormatting>
  <conditionalFormatting sqref="B656">
    <cfRule type="expression" dxfId="1573" priority="1897">
      <formula>"="</formula>
    </cfRule>
  </conditionalFormatting>
  <conditionalFormatting sqref="B657">
    <cfRule type="expression" dxfId="1572" priority="1896">
      <formula>"="</formula>
    </cfRule>
  </conditionalFormatting>
  <conditionalFormatting sqref="B657">
    <cfRule type="expression" dxfId="1571" priority="1895">
      <formula>"="</formula>
    </cfRule>
  </conditionalFormatting>
  <conditionalFormatting sqref="B658">
    <cfRule type="expression" dxfId="1570" priority="1894">
      <formula>"="</formula>
    </cfRule>
  </conditionalFormatting>
  <conditionalFormatting sqref="B658">
    <cfRule type="expression" dxfId="1569" priority="1893">
      <formula>"="</formula>
    </cfRule>
  </conditionalFormatting>
  <conditionalFormatting sqref="B659">
    <cfRule type="expression" dxfId="1568" priority="1892">
      <formula>"="</formula>
    </cfRule>
  </conditionalFormatting>
  <conditionalFormatting sqref="B659">
    <cfRule type="expression" dxfId="1567" priority="1891">
      <formula>"="</formula>
    </cfRule>
  </conditionalFormatting>
  <conditionalFormatting sqref="B660">
    <cfRule type="expression" dxfId="1566" priority="1890">
      <formula>"="</formula>
    </cfRule>
  </conditionalFormatting>
  <conditionalFormatting sqref="B660">
    <cfRule type="expression" dxfId="1565" priority="1889">
      <formula>"="</formula>
    </cfRule>
  </conditionalFormatting>
  <conditionalFormatting sqref="B661">
    <cfRule type="expression" dxfId="1564" priority="1888">
      <formula>"="</formula>
    </cfRule>
  </conditionalFormatting>
  <conditionalFormatting sqref="B661">
    <cfRule type="expression" dxfId="1563" priority="1887">
      <formula>"="</formula>
    </cfRule>
  </conditionalFormatting>
  <conditionalFormatting sqref="B662">
    <cfRule type="expression" dxfId="1562" priority="1886">
      <formula>"="</formula>
    </cfRule>
  </conditionalFormatting>
  <conditionalFormatting sqref="B662">
    <cfRule type="expression" dxfId="1561" priority="1885">
      <formula>"="</formula>
    </cfRule>
  </conditionalFormatting>
  <conditionalFormatting sqref="B663">
    <cfRule type="expression" dxfId="1560" priority="1884">
      <formula>"="</formula>
    </cfRule>
  </conditionalFormatting>
  <conditionalFormatting sqref="B663">
    <cfRule type="expression" dxfId="1559" priority="1883">
      <formula>"="</formula>
    </cfRule>
  </conditionalFormatting>
  <conditionalFormatting sqref="B664">
    <cfRule type="expression" dxfId="1558" priority="1882">
      <formula>"="</formula>
    </cfRule>
  </conditionalFormatting>
  <conditionalFormatting sqref="B664">
    <cfRule type="expression" dxfId="1557" priority="1881">
      <formula>"="</formula>
    </cfRule>
  </conditionalFormatting>
  <conditionalFormatting sqref="B665">
    <cfRule type="expression" dxfId="1556" priority="1880">
      <formula>"="</formula>
    </cfRule>
  </conditionalFormatting>
  <conditionalFormatting sqref="B665">
    <cfRule type="expression" dxfId="1555" priority="1879">
      <formula>"="</formula>
    </cfRule>
  </conditionalFormatting>
  <conditionalFormatting sqref="E404:E408 E421 E292:E306 E365:E373">
    <cfRule type="expression" dxfId="1554" priority="1865">
      <formula>"="</formula>
    </cfRule>
  </conditionalFormatting>
  <conditionalFormatting sqref="E400 I400:K400">
    <cfRule type="expression" dxfId="1553" priority="1861">
      <formula>"="</formula>
    </cfRule>
  </conditionalFormatting>
  <conditionalFormatting sqref="D400">
    <cfRule type="expression" dxfId="1552" priority="1860">
      <formula>"="</formula>
    </cfRule>
  </conditionalFormatting>
  <conditionalFormatting sqref="J392:J399">
    <cfRule type="expression" dxfId="1551" priority="1858">
      <formula>"="</formula>
    </cfRule>
  </conditionalFormatting>
  <conditionalFormatting sqref="D392:D399">
    <cfRule type="expression" dxfId="1550" priority="1857">
      <formula>"="</formula>
    </cfRule>
  </conditionalFormatting>
  <conditionalFormatting sqref="G392:G400">
    <cfRule type="expression" dxfId="1549" priority="1856">
      <formula>"="</formula>
    </cfRule>
  </conditionalFormatting>
  <conditionalFormatting sqref="H392:H400">
    <cfRule type="expression" dxfId="1548" priority="1855">
      <formula>"="</formula>
    </cfRule>
  </conditionalFormatting>
  <conditionalFormatting sqref="I392:I399">
    <cfRule type="expression" dxfId="1547" priority="1854">
      <formula>"="</formula>
    </cfRule>
  </conditionalFormatting>
  <conditionalFormatting sqref="K392:K399">
    <cfRule type="expression" dxfId="1546" priority="1853">
      <formula>"="</formula>
    </cfRule>
  </conditionalFormatting>
  <conditionalFormatting sqref="E392:E399">
    <cfRule type="expression" dxfId="1545" priority="1852">
      <formula>"="</formula>
    </cfRule>
  </conditionalFormatting>
  <conditionalFormatting sqref="E387 I387:K387">
    <cfRule type="expression" dxfId="1544" priority="1848">
      <formula>"="</formula>
    </cfRule>
  </conditionalFormatting>
  <conditionalFormatting sqref="D387">
    <cfRule type="expression" dxfId="1543" priority="1847">
      <formula>"="</formula>
    </cfRule>
  </conditionalFormatting>
  <conditionalFormatting sqref="J378:J386">
    <cfRule type="expression" dxfId="1542" priority="1845">
      <formula>"="</formula>
    </cfRule>
  </conditionalFormatting>
  <conditionalFormatting sqref="D378:D386">
    <cfRule type="expression" dxfId="1541" priority="1844">
      <formula>"="</formula>
    </cfRule>
  </conditionalFormatting>
  <conditionalFormatting sqref="G378:G387">
    <cfRule type="expression" dxfId="1540" priority="1843">
      <formula>"="</formula>
    </cfRule>
  </conditionalFormatting>
  <conditionalFormatting sqref="H378:H387">
    <cfRule type="expression" dxfId="1539" priority="1842">
      <formula>"="</formula>
    </cfRule>
  </conditionalFormatting>
  <conditionalFormatting sqref="I378:I386">
    <cfRule type="expression" dxfId="1538" priority="1841">
      <formula>"="</formula>
    </cfRule>
  </conditionalFormatting>
  <conditionalFormatting sqref="K378:K386">
    <cfRule type="expression" dxfId="1537" priority="1840">
      <formula>"="</formula>
    </cfRule>
  </conditionalFormatting>
  <conditionalFormatting sqref="E378:E386">
    <cfRule type="expression" dxfId="1536" priority="1839">
      <formula>"="</formula>
    </cfRule>
  </conditionalFormatting>
  <conditionalFormatting sqref="B346 B361">
    <cfRule type="expression" dxfId="1535" priority="1724">
      <formula>"="</formula>
    </cfRule>
  </conditionalFormatting>
  <conditionalFormatting sqref="E361 I361:K361">
    <cfRule type="expression" dxfId="1534" priority="1722">
      <formula>"="</formula>
    </cfRule>
  </conditionalFormatting>
  <conditionalFormatting sqref="B346 B361">
    <cfRule type="expression" dxfId="1533" priority="1723">
      <formula>"="</formula>
    </cfRule>
  </conditionalFormatting>
  <conditionalFormatting sqref="D361">
    <cfRule type="expression" dxfId="1532" priority="1721">
      <formula>"="</formula>
    </cfRule>
  </conditionalFormatting>
  <conditionalFormatting sqref="J346:J360">
    <cfRule type="expression" dxfId="1531" priority="1719">
      <formula>"="</formula>
    </cfRule>
  </conditionalFormatting>
  <conditionalFormatting sqref="G346:G360">
    <cfRule type="expression" dxfId="1530" priority="1717">
      <formula>"="</formula>
    </cfRule>
  </conditionalFormatting>
  <conditionalFormatting sqref="H347:H361">
    <cfRule type="expression" dxfId="1529" priority="1716">
      <formula>"="</formula>
    </cfRule>
  </conditionalFormatting>
  <conditionalFormatting sqref="D346:D360">
    <cfRule type="expression" dxfId="1528" priority="1718">
      <formula>"="</formula>
    </cfRule>
  </conditionalFormatting>
  <conditionalFormatting sqref="I346:I360">
    <cfRule type="expression" dxfId="1527" priority="1714">
      <formula>"="</formula>
    </cfRule>
  </conditionalFormatting>
  <conditionalFormatting sqref="K346:K360">
    <cfRule type="expression" dxfId="1526" priority="1713">
      <formula>"="</formula>
    </cfRule>
  </conditionalFormatting>
  <conditionalFormatting sqref="E346:E360">
    <cfRule type="expression" dxfId="1525" priority="1712">
      <formula>"="</formula>
    </cfRule>
  </conditionalFormatting>
  <conditionalFormatting sqref="B328">
    <cfRule type="expression" dxfId="1524" priority="1711">
      <formula>"="</formula>
    </cfRule>
  </conditionalFormatting>
  <conditionalFormatting sqref="B328">
    <cfRule type="expression" dxfId="1523" priority="1710">
      <formula>"="</formula>
    </cfRule>
  </conditionalFormatting>
  <conditionalFormatting sqref="J328:J342">
    <cfRule type="expression" dxfId="1522" priority="1706">
      <formula>"="</formula>
    </cfRule>
  </conditionalFormatting>
  <conditionalFormatting sqref="G328:G342">
    <cfRule type="expression" dxfId="1521" priority="1704">
      <formula>"="</formula>
    </cfRule>
  </conditionalFormatting>
  <conditionalFormatting sqref="H329:H342">
    <cfRule type="expression" dxfId="1520" priority="1703">
      <formula>"="</formula>
    </cfRule>
  </conditionalFormatting>
  <conditionalFormatting sqref="D328:D342">
    <cfRule type="expression" dxfId="1519" priority="1705">
      <formula>"="</formula>
    </cfRule>
  </conditionalFormatting>
  <conditionalFormatting sqref="I328:I342">
    <cfRule type="expression" dxfId="1518" priority="1701">
      <formula>"="</formula>
    </cfRule>
  </conditionalFormatting>
  <conditionalFormatting sqref="K328:K342">
    <cfRule type="expression" dxfId="1517" priority="1700">
      <formula>"="</formula>
    </cfRule>
  </conditionalFormatting>
  <conditionalFormatting sqref="E328:E342">
    <cfRule type="expression" dxfId="1516" priority="1699">
      <formula>"="</formula>
    </cfRule>
  </conditionalFormatting>
  <conditionalFormatting sqref="B310 B325">
    <cfRule type="expression" dxfId="1515" priority="1698">
      <formula>"="</formula>
    </cfRule>
  </conditionalFormatting>
  <conditionalFormatting sqref="E325 I325:K325">
    <cfRule type="expression" dxfId="1514" priority="1696">
      <formula>"="</formula>
    </cfRule>
  </conditionalFormatting>
  <conditionalFormatting sqref="B310 B325">
    <cfRule type="expression" dxfId="1513" priority="1697">
      <formula>"="</formula>
    </cfRule>
  </conditionalFormatting>
  <conditionalFormatting sqref="D325">
    <cfRule type="expression" dxfId="1512" priority="1695">
      <formula>"="</formula>
    </cfRule>
  </conditionalFormatting>
  <conditionalFormatting sqref="J310:J324">
    <cfRule type="expression" dxfId="1511" priority="1693">
      <formula>"="</formula>
    </cfRule>
  </conditionalFormatting>
  <conditionalFormatting sqref="G310:G324">
    <cfRule type="expression" dxfId="1510" priority="1691">
      <formula>"="</formula>
    </cfRule>
  </conditionalFormatting>
  <conditionalFormatting sqref="H311:H325">
    <cfRule type="expression" dxfId="1509" priority="1690">
      <formula>"="</formula>
    </cfRule>
  </conditionalFormatting>
  <conditionalFormatting sqref="D310:D324">
    <cfRule type="expression" dxfId="1508" priority="1692">
      <formula>"="</formula>
    </cfRule>
  </conditionalFormatting>
  <conditionalFormatting sqref="I310:I324">
    <cfRule type="expression" dxfId="1507" priority="1688">
      <formula>"="</formula>
    </cfRule>
  </conditionalFormatting>
  <conditionalFormatting sqref="K310:K324">
    <cfRule type="expression" dxfId="1506" priority="1687">
      <formula>"="</formula>
    </cfRule>
  </conditionalFormatting>
  <conditionalFormatting sqref="E310:E324">
    <cfRule type="expression" dxfId="1505" priority="1686">
      <formula>"="</formula>
    </cfRule>
  </conditionalFormatting>
  <conditionalFormatting sqref="B293">
    <cfRule type="expression" dxfId="1504" priority="1685">
      <formula>"="</formula>
    </cfRule>
  </conditionalFormatting>
  <conditionalFormatting sqref="B293">
    <cfRule type="expression" dxfId="1503" priority="1684">
      <formula>"="</formula>
    </cfRule>
  </conditionalFormatting>
  <conditionalFormatting sqref="B311">
    <cfRule type="expression" dxfId="1502" priority="1657">
      <formula>"="</formula>
    </cfRule>
  </conditionalFormatting>
  <conditionalFormatting sqref="B311">
    <cfRule type="expression" dxfId="1501" priority="1656">
      <formula>"="</formula>
    </cfRule>
  </conditionalFormatting>
  <conditionalFormatting sqref="B312">
    <cfRule type="expression" dxfId="1500" priority="1655">
      <formula>"="</formula>
    </cfRule>
  </conditionalFormatting>
  <conditionalFormatting sqref="B312">
    <cfRule type="expression" dxfId="1499" priority="1654">
      <formula>"="</formula>
    </cfRule>
  </conditionalFormatting>
  <conditionalFormatting sqref="B313">
    <cfRule type="expression" dxfId="1498" priority="1653">
      <formula>"="</formula>
    </cfRule>
  </conditionalFormatting>
  <conditionalFormatting sqref="B313">
    <cfRule type="expression" dxfId="1497" priority="1652">
      <formula>"="</formula>
    </cfRule>
  </conditionalFormatting>
  <conditionalFormatting sqref="B314">
    <cfRule type="expression" dxfId="1496" priority="1651">
      <formula>"="</formula>
    </cfRule>
  </conditionalFormatting>
  <conditionalFormatting sqref="B314">
    <cfRule type="expression" dxfId="1495" priority="1650">
      <formula>"="</formula>
    </cfRule>
  </conditionalFormatting>
  <conditionalFormatting sqref="B315">
    <cfRule type="expression" dxfId="1494" priority="1649">
      <formula>"="</formula>
    </cfRule>
  </conditionalFormatting>
  <conditionalFormatting sqref="B315">
    <cfRule type="expression" dxfId="1493" priority="1648">
      <formula>"="</formula>
    </cfRule>
  </conditionalFormatting>
  <conditionalFormatting sqref="B316">
    <cfRule type="expression" dxfId="1492" priority="1647">
      <formula>"="</formula>
    </cfRule>
  </conditionalFormatting>
  <conditionalFormatting sqref="B316">
    <cfRule type="expression" dxfId="1491" priority="1646">
      <formula>"="</formula>
    </cfRule>
  </conditionalFormatting>
  <conditionalFormatting sqref="B317">
    <cfRule type="expression" dxfId="1490" priority="1645">
      <formula>"="</formula>
    </cfRule>
  </conditionalFormatting>
  <conditionalFormatting sqref="B317">
    <cfRule type="expression" dxfId="1489" priority="1644">
      <formula>"="</formula>
    </cfRule>
  </conditionalFormatting>
  <conditionalFormatting sqref="B318">
    <cfRule type="expression" dxfId="1488" priority="1643">
      <formula>"="</formula>
    </cfRule>
  </conditionalFormatting>
  <conditionalFormatting sqref="B318">
    <cfRule type="expression" dxfId="1487" priority="1642">
      <formula>"="</formula>
    </cfRule>
  </conditionalFormatting>
  <conditionalFormatting sqref="B319">
    <cfRule type="expression" dxfId="1486" priority="1641">
      <formula>"="</formula>
    </cfRule>
  </conditionalFormatting>
  <conditionalFormatting sqref="B319">
    <cfRule type="expression" dxfId="1485" priority="1640">
      <formula>"="</formula>
    </cfRule>
  </conditionalFormatting>
  <conditionalFormatting sqref="B320">
    <cfRule type="expression" dxfId="1484" priority="1639">
      <formula>"="</formula>
    </cfRule>
  </conditionalFormatting>
  <conditionalFormatting sqref="B320">
    <cfRule type="expression" dxfId="1483" priority="1638">
      <formula>"="</formula>
    </cfRule>
  </conditionalFormatting>
  <conditionalFormatting sqref="B321">
    <cfRule type="expression" dxfId="1482" priority="1637">
      <formula>"="</formula>
    </cfRule>
  </conditionalFormatting>
  <conditionalFormatting sqref="B321">
    <cfRule type="expression" dxfId="1481" priority="1636">
      <formula>"="</formula>
    </cfRule>
  </conditionalFormatting>
  <conditionalFormatting sqref="B322">
    <cfRule type="expression" dxfId="1480" priority="1635">
      <formula>"="</formula>
    </cfRule>
  </conditionalFormatting>
  <conditionalFormatting sqref="B322">
    <cfRule type="expression" dxfId="1479" priority="1634">
      <formula>"="</formula>
    </cfRule>
  </conditionalFormatting>
  <conditionalFormatting sqref="B323">
    <cfRule type="expression" dxfId="1478" priority="1633">
      <formula>"="</formula>
    </cfRule>
  </conditionalFormatting>
  <conditionalFormatting sqref="B323">
    <cfRule type="expression" dxfId="1477" priority="1632">
      <formula>"="</formula>
    </cfRule>
  </conditionalFormatting>
  <conditionalFormatting sqref="B324">
    <cfRule type="expression" dxfId="1476" priority="1631">
      <formula>"="</formula>
    </cfRule>
  </conditionalFormatting>
  <conditionalFormatting sqref="B324">
    <cfRule type="expression" dxfId="1475" priority="1630">
      <formula>"="</formula>
    </cfRule>
  </conditionalFormatting>
  <conditionalFormatting sqref="B294">
    <cfRule type="expression" dxfId="1474" priority="1625">
      <formula>"="</formula>
    </cfRule>
  </conditionalFormatting>
  <conditionalFormatting sqref="B294">
    <cfRule type="expression" dxfId="1473" priority="1624">
      <formula>"="</formula>
    </cfRule>
  </conditionalFormatting>
  <conditionalFormatting sqref="B295">
    <cfRule type="expression" dxfId="1472" priority="1623">
      <formula>"="</formula>
    </cfRule>
  </conditionalFormatting>
  <conditionalFormatting sqref="B295">
    <cfRule type="expression" dxfId="1471" priority="1622">
      <formula>"="</formula>
    </cfRule>
  </conditionalFormatting>
  <conditionalFormatting sqref="B296">
    <cfRule type="expression" dxfId="1470" priority="1621">
      <formula>"="</formula>
    </cfRule>
  </conditionalFormatting>
  <conditionalFormatting sqref="B296">
    <cfRule type="expression" dxfId="1469" priority="1620">
      <formula>"="</formula>
    </cfRule>
  </conditionalFormatting>
  <conditionalFormatting sqref="B297">
    <cfRule type="expression" dxfId="1468" priority="1619">
      <formula>"="</formula>
    </cfRule>
  </conditionalFormatting>
  <conditionalFormatting sqref="B297">
    <cfRule type="expression" dxfId="1467" priority="1618">
      <formula>"="</formula>
    </cfRule>
  </conditionalFormatting>
  <conditionalFormatting sqref="B298">
    <cfRule type="expression" dxfId="1466" priority="1617">
      <formula>"="</formula>
    </cfRule>
  </conditionalFormatting>
  <conditionalFormatting sqref="B298">
    <cfRule type="expression" dxfId="1465" priority="1616">
      <formula>"="</formula>
    </cfRule>
  </conditionalFormatting>
  <conditionalFormatting sqref="B299">
    <cfRule type="expression" dxfId="1464" priority="1615">
      <formula>"="</formula>
    </cfRule>
  </conditionalFormatting>
  <conditionalFormatting sqref="B299">
    <cfRule type="expression" dxfId="1463" priority="1614">
      <formula>"="</formula>
    </cfRule>
  </conditionalFormatting>
  <conditionalFormatting sqref="B300">
    <cfRule type="expression" dxfId="1462" priority="1613">
      <formula>"="</formula>
    </cfRule>
  </conditionalFormatting>
  <conditionalFormatting sqref="B300">
    <cfRule type="expression" dxfId="1461" priority="1612">
      <formula>"="</formula>
    </cfRule>
  </conditionalFormatting>
  <conditionalFormatting sqref="B301">
    <cfRule type="expression" dxfId="1460" priority="1611">
      <formula>"="</formula>
    </cfRule>
  </conditionalFormatting>
  <conditionalFormatting sqref="B301">
    <cfRule type="expression" dxfId="1459" priority="1610">
      <formula>"="</formula>
    </cfRule>
  </conditionalFormatting>
  <conditionalFormatting sqref="B302">
    <cfRule type="expression" dxfId="1458" priority="1609">
      <formula>"="</formula>
    </cfRule>
  </conditionalFormatting>
  <conditionalFormatting sqref="B302">
    <cfRule type="expression" dxfId="1457" priority="1608">
      <formula>"="</formula>
    </cfRule>
  </conditionalFormatting>
  <conditionalFormatting sqref="B303">
    <cfRule type="expression" dxfId="1456" priority="1607">
      <formula>"="</formula>
    </cfRule>
  </conditionalFormatting>
  <conditionalFormatting sqref="B303">
    <cfRule type="expression" dxfId="1455" priority="1606">
      <formula>"="</formula>
    </cfRule>
  </conditionalFormatting>
  <conditionalFormatting sqref="B304">
    <cfRule type="expression" dxfId="1454" priority="1605">
      <formula>"="</formula>
    </cfRule>
  </conditionalFormatting>
  <conditionalFormatting sqref="B304">
    <cfRule type="expression" dxfId="1453" priority="1604">
      <formula>"="</formula>
    </cfRule>
  </conditionalFormatting>
  <conditionalFormatting sqref="B305">
    <cfRule type="expression" dxfId="1452" priority="1603">
      <formula>"="</formula>
    </cfRule>
  </conditionalFormatting>
  <conditionalFormatting sqref="B305">
    <cfRule type="expression" dxfId="1451" priority="1602">
      <formula>"="</formula>
    </cfRule>
  </conditionalFormatting>
  <conditionalFormatting sqref="B306">
    <cfRule type="expression" dxfId="1450" priority="1601">
      <formula>"="</formula>
    </cfRule>
  </conditionalFormatting>
  <conditionalFormatting sqref="B306">
    <cfRule type="expression" dxfId="1449" priority="1600">
      <formula>"="</formula>
    </cfRule>
  </conditionalFormatting>
  <conditionalFormatting sqref="B347">
    <cfRule type="expression" dxfId="1448" priority="1571">
      <formula>"="</formula>
    </cfRule>
  </conditionalFormatting>
  <conditionalFormatting sqref="B347">
    <cfRule type="expression" dxfId="1447" priority="1570">
      <formula>"="</formula>
    </cfRule>
  </conditionalFormatting>
  <conditionalFormatting sqref="B348">
    <cfRule type="expression" dxfId="1446" priority="1569">
      <formula>"="</formula>
    </cfRule>
  </conditionalFormatting>
  <conditionalFormatting sqref="B348">
    <cfRule type="expression" dxfId="1445" priority="1568">
      <formula>"="</formula>
    </cfRule>
  </conditionalFormatting>
  <conditionalFormatting sqref="B349">
    <cfRule type="expression" dxfId="1444" priority="1567">
      <formula>"="</formula>
    </cfRule>
  </conditionalFormatting>
  <conditionalFormatting sqref="B349">
    <cfRule type="expression" dxfId="1443" priority="1566">
      <formula>"="</formula>
    </cfRule>
  </conditionalFormatting>
  <conditionalFormatting sqref="B350">
    <cfRule type="expression" dxfId="1442" priority="1565">
      <formula>"="</formula>
    </cfRule>
  </conditionalFormatting>
  <conditionalFormatting sqref="B350">
    <cfRule type="expression" dxfId="1441" priority="1564">
      <formula>"="</formula>
    </cfRule>
  </conditionalFormatting>
  <conditionalFormatting sqref="B351">
    <cfRule type="expression" dxfId="1440" priority="1563">
      <formula>"="</formula>
    </cfRule>
  </conditionalFormatting>
  <conditionalFormatting sqref="B351">
    <cfRule type="expression" dxfId="1439" priority="1562">
      <formula>"="</formula>
    </cfRule>
  </conditionalFormatting>
  <conditionalFormatting sqref="B352">
    <cfRule type="expression" dxfId="1438" priority="1561">
      <formula>"="</formula>
    </cfRule>
  </conditionalFormatting>
  <conditionalFormatting sqref="B352">
    <cfRule type="expression" dxfId="1437" priority="1560">
      <formula>"="</formula>
    </cfRule>
  </conditionalFormatting>
  <conditionalFormatting sqref="B353">
    <cfRule type="expression" dxfId="1436" priority="1559">
      <formula>"="</formula>
    </cfRule>
  </conditionalFormatting>
  <conditionalFormatting sqref="B353">
    <cfRule type="expression" dxfId="1435" priority="1558">
      <formula>"="</formula>
    </cfRule>
  </conditionalFormatting>
  <conditionalFormatting sqref="B354">
    <cfRule type="expression" dxfId="1434" priority="1557">
      <formula>"="</formula>
    </cfRule>
  </conditionalFormatting>
  <conditionalFormatting sqref="B354">
    <cfRule type="expression" dxfId="1433" priority="1556">
      <formula>"="</formula>
    </cfRule>
  </conditionalFormatting>
  <conditionalFormatting sqref="B355">
    <cfRule type="expression" dxfId="1432" priority="1555">
      <formula>"="</formula>
    </cfRule>
  </conditionalFormatting>
  <conditionalFormatting sqref="B355">
    <cfRule type="expression" dxfId="1431" priority="1554">
      <formula>"="</formula>
    </cfRule>
  </conditionalFormatting>
  <conditionalFormatting sqref="B356">
    <cfRule type="expression" dxfId="1430" priority="1553">
      <formula>"="</formula>
    </cfRule>
  </conditionalFormatting>
  <conditionalFormatting sqref="B356">
    <cfRule type="expression" dxfId="1429" priority="1552">
      <formula>"="</formula>
    </cfRule>
  </conditionalFormatting>
  <conditionalFormatting sqref="B357">
    <cfRule type="expression" dxfId="1428" priority="1551">
      <formula>"="</formula>
    </cfRule>
  </conditionalFormatting>
  <conditionalFormatting sqref="B357">
    <cfRule type="expression" dxfId="1427" priority="1550">
      <formula>"="</formula>
    </cfRule>
  </conditionalFormatting>
  <conditionalFormatting sqref="B358">
    <cfRule type="expression" dxfId="1426" priority="1549">
      <formula>"="</formula>
    </cfRule>
  </conditionalFormatting>
  <conditionalFormatting sqref="B358">
    <cfRule type="expression" dxfId="1425" priority="1548">
      <formula>"="</formula>
    </cfRule>
  </conditionalFormatting>
  <conditionalFormatting sqref="B359">
    <cfRule type="expression" dxfId="1424" priority="1547">
      <formula>"="</formula>
    </cfRule>
  </conditionalFormatting>
  <conditionalFormatting sqref="B359">
    <cfRule type="expression" dxfId="1423" priority="1546">
      <formula>"="</formula>
    </cfRule>
  </conditionalFormatting>
  <conditionalFormatting sqref="B360">
    <cfRule type="expression" dxfId="1422" priority="1545">
      <formula>"="</formula>
    </cfRule>
  </conditionalFormatting>
  <conditionalFormatting sqref="B360">
    <cfRule type="expression" dxfId="1421" priority="1544">
      <formula>"="</formula>
    </cfRule>
  </conditionalFormatting>
  <conditionalFormatting sqref="B329:B342">
    <cfRule type="expression" dxfId="1420" priority="1539">
      <formula>"="</formula>
    </cfRule>
  </conditionalFormatting>
  <conditionalFormatting sqref="B329:B342">
    <cfRule type="expression" dxfId="1419" priority="1538">
      <formula>"="</formula>
    </cfRule>
  </conditionalFormatting>
  <conditionalFormatting sqref="B378:B387">
    <cfRule type="expression" dxfId="1418" priority="1537">
      <formula>"="</formula>
    </cfRule>
  </conditionalFormatting>
  <conditionalFormatting sqref="B378:B387">
    <cfRule type="expression" dxfId="1417" priority="1536">
      <formula>"="</formula>
    </cfRule>
  </conditionalFormatting>
  <conditionalFormatting sqref="B392:B400">
    <cfRule type="expression" dxfId="1416" priority="1535">
      <formula>"="</formula>
    </cfRule>
  </conditionalFormatting>
  <conditionalFormatting sqref="B392:B400">
    <cfRule type="expression" dxfId="1415" priority="1534">
      <formula>"="</formula>
    </cfRule>
  </conditionalFormatting>
  <conditionalFormatting sqref="B365:B374">
    <cfRule type="expression" dxfId="1414" priority="1533">
      <formula>"="</formula>
    </cfRule>
  </conditionalFormatting>
  <conditionalFormatting sqref="B365:B374">
    <cfRule type="expression" dxfId="1413" priority="1532">
      <formula>"="</formula>
    </cfRule>
  </conditionalFormatting>
  <conditionalFormatting sqref="I507">
    <cfRule type="expression" dxfId="1412" priority="1531">
      <formula>"="</formula>
    </cfRule>
  </conditionalFormatting>
  <conditionalFormatting sqref="I509">
    <cfRule type="expression" dxfId="1411" priority="1530">
      <formula>"="</formula>
    </cfRule>
  </conditionalFormatting>
  <conditionalFormatting sqref="I511">
    <cfRule type="expression" dxfId="1410" priority="1529">
      <formula>"="</formula>
    </cfRule>
  </conditionalFormatting>
  <conditionalFormatting sqref="I513">
    <cfRule type="expression" dxfId="1409" priority="1528">
      <formula>"="</formula>
    </cfRule>
  </conditionalFormatting>
  <conditionalFormatting sqref="I515">
    <cfRule type="expression" dxfId="1408" priority="1527">
      <formula>"="</formula>
    </cfRule>
  </conditionalFormatting>
  <conditionalFormatting sqref="I517">
    <cfRule type="expression" dxfId="1407" priority="1526">
      <formula>"="</formula>
    </cfRule>
  </conditionalFormatting>
  <conditionalFormatting sqref="I519">
    <cfRule type="expression" dxfId="1406" priority="1525">
      <formula>"="</formula>
    </cfRule>
  </conditionalFormatting>
  <conditionalFormatting sqref="I521">
    <cfRule type="expression" dxfId="1405" priority="1524">
      <formula>"="</formula>
    </cfRule>
  </conditionalFormatting>
  <conditionalFormatting sqref="I523">
    <cfRule type="expression" dxfId="1404" priority="1523">
      <formula>"="</formula>
    </cfRule>
  </conditionalFormatting>
  <conditionalFormatting sqref="I525">
    <cfRule type="expression" dxfId="1403" priority="1522">
      <formula>"="</formula>
    </cfRule>
  </conditionalFormatting>
  <conditionalFormatting sqref="I527">
    <cfRule type="expression" dxfId="1402" priority="1521">
      <formula>"="</formula>
    </cfRule>
  </conditionalFormatting>
  <conditionalFormatting sqref="I529">
    <cfRule type="expression" dxfId="1401" priority="1520">
      <formula>"="</formula>
    </cfRule>
  </conditionalFormatting>
  <conditionalFormatting sqref="I531">
    <cfRule type="expression" dxfId="1400" priority="1519">
      <formula>"="</formula>
    </cfRule>
  </conditionalFormatting>
  <conditionalFormatting sqref="I117:I130">
    <cfRule type="expression" dxfId="1399" priority="1516">
      <formula>"="</formula>
    </cfRule>
  </conditionalFormatting>
  <conditionalFormatting sqref="D942">
    <cfRule type="expression" dxfId="1398" priority="1506">
      <formula>"="</formula>
    </cfRule>
  </conditionalFormatting>
  <conditionalFormatting sqref="D919">
    <cfRule type="expression" dxfId="1397" priority="1505">
      <formula>"="</formula>
    </cfRule>
  </conditionalFormatting>
  <conditionalFormatting sqref="D941">
    <cfRule type="expression" dxfId="1396" priority="1504">
      <formula>"="</formula>
    </cfRule>
  </conditionalFormatting>
  <conditionalFormatting sqref="F444">
    <cfRule type="expression" dxfId="1395" priority="651">
      <formula>"="</formula>
    </cfRule>
  </conditionalFormatting>
  <conditionalFormatting sqref="C68:C69">
    <cfRule type="expression" dxfId="1394" priority="1471">
      <formula>"="</formula>
    </cfRule>
  </conditionalFormatting>
  <conditionalFormatting sqref="C68:C69">
    <cfRule type="expression" dxfId="1393" priority="1470">
      <formula>"="</formula>
    </cfRule>
  </conditionalFormatting>
  <conditionalFormatting sqref="J68">
    <cfRule type="expression" dxfId="1392" priority="1469">
      <formula>"="</formula>
    </cfRule>
  </conditionalFormatting>
  <conditionalFormatting sqref="J69">
    <cfRule type="expression" dxfId="1391" priority="1468">
      <formula>"="</formula>
    </cfRule>
  </conditionalFormatting>
  <conditionalFormatting sqref="C78:C98">
    <cfRule type="expression" dxfId="1390" priority="1467">
      <formula>"="</formula>
    </cfRule>
  </conditionalFormatting>
  <conditionalFormatting sqref="C78:C98">
    <cfRule type="expression" dxfId="1389" priority="1466">
      <formula>"="</formula>
    </cfRule>
  </conditionalFormatting>
  <conditionalFormatting sqref="J79">
    <cfRule type="expression" dxfId="1388" priority="1464">
      <formula>"="</formula>
    </cfRule>
  </conditionalFormatting>
  <conditionalFormatting sqref="J78">
    <cfRule type="expression" dxfId="1387" priority="1465">
      <formula>"="</formula>
    </cfRule>
  </conditionalFormatting>
  <conditionalFormatting sqref="J107">
    <cfRule type="expression" dxfId="1386" priority="1463">
      <formula>"="</formula>
    </cfRule>
  </conditionalFormatting>
  <conditionalFormatting sqref="J108">
    <cfRule type="expression" dxfId="1385" priority="1462">
      <formula>"="</formula>
    </cfRule>
  </conditionalFormatting>
  <conditionalFormatting sqref="J116">
    <cfRule type="expression" dxfId="1384" priority="1460">
      <formula>"="</formula>
    </cfRule>
  </conditionalFormatting>
  <conditionalFormatting sqref="J115">
    <cfRule type="expression" dxfId="1383" priority="1461">
      <formula>"="</formula>
    </cfRule>
  </conditionalFormatting>
  <conditionalFormatting sqref="B115:E115">
    <cfRule type="expression" dxfId="1382" priority="1459">
      <formula>"="</formula>
    </cfRule>
  </conditionalFormatting>
  <conditionalFormatting sqref="B116:C116 E116 G116">
    <cfRule type="expression" dxfId="1381" priority="1458">
      <formula>"="</formula>
    </cfRule>
  </conditionalFormatting>
  <conditionalFormatting sqref="B131:E131">
    <cfRule type="expression" dxfId="1380" priority="1457">
      <formula>"="</formula>
    </cfRule>
  </conditionalFormatting>
  <conditionalFormatting sqref="B132:C132 E132 J132 G132">
    <cfRule type="expression" dxfId="1379" priority="1456">
      <formula>"="</formula>
    </cfRule>
  </conditionalFormatting>
  <conditionalFormatting sqref="B141:E141">
    <cfRule type="expression" dxfId="1378" priority="1455">
      <formula>"="</formula>
    </cfRule>
  </conditionalFormatting>
  <conditionalFormatting sqref="B142:C142 E142 J142 G142">
    <cfRule type="expression" dxfId="1377" priority="1454">
      <formula>"="</formula>
    </cfRule>
  </conditionalFormatting>
  <conditionalFormatting sqref="B157:E157">
    <cfRule type="expression" dxfId="1376" priority="1453">
      <formula>"="</formula>
    </cfRule>
  </conditionalFormatting>
  <conditionalFormatting sqref="B158:C158 E158 J158 G158">
    <cfRule type="expression" dxfId="1375" priority="1452">
      <formula>"="</formula>
    </cfRule>
  </conditionalFormatting>
  <conditionalFormatting sqref="B169:E169">
    <cfRule type="expression" dxfId="1374" priority="1451">
      <formula>"="</formula>
    </cfRule>
  </conditionalFormatting>
  <conditionalFormatting sqref="B170:C170 E170 H171">
    <cfRule type="expression" dxfId="1373" priority="1450">
      <formula>"="</formula>
    </cfRule>
  </conditionalFormatting>
  <conditionalFormatting sqref="B185:E185">
    <cfRule type="expression" dxfId="1372" priority="1449">
      <formula>"="</formula>
    </cfRule>
  </conditionalFormatting>
  <conditionalFormatting sqref="B186:C186 E186 J186 G186">
    <cfRule type="expression" dxfId="1371" priority="1448">
      <formula>"="</formula>
    </cfRule>
  </conditionalFormatting>
  <conditionalFormatting sqref="C197:E197">
    <cfRule type="expression" dxfId="1370" priority="1447">
      <formula>"="</formula>
    </cfRule>
  </conditionalFormatting>
  <conditionalFormatting sqref="C198 E198 J198 G198">
    <cfRule type="expression" dxfId="1369" priority="1446">
      <formula>"="</formula>
    </cfRule>
  </conditionalFormatting>
  <conditionalFormatting sqref="B206:B207">
    <cfRule type="expression" dxfId="1368" priority="1445">
      <formula>"="</formula>
    </cfRule>
  </conditionalFormatting>
  <conditionalFormatting sqref="B206:B207">
    <cfRule type="expression" dxfId="1367" priority="1444">
      <formula>"="</formula>
    </cfRule>
  </conditionalFormatting>
  <conditionalFormatting sqref="K206">
    <cfRule type="expression" dxfId="1366" priority="1443">
      <formula>"="</formula>
    </cfRule>
  </conditionalFormatting>
  <conditionalFormatting sqref="K207">
    <cfRule type="expression" dxfId="1365" priority="1442">
      <formula>"="</formula>
    </cfRule>
  </conditionalFormatting>
  <conditionalFormatting sqref="C206:E206">
    <cfRule type="expression" dxfId="1364" priority="1441">
      <formula>"="</formula>
    </cfRule>
  </conditionalFormatting>
  <conditionalFormatting sqref="C207 E207 J207 G207">
    <cfRule type="expression" dxfId="1363" priority="1440">
      <formula>"="</formula>
    </cfRule>
  </conditionalFormatting>
  <conditionalFormatting sqref="B214:B215">
    <cfRule type="expression" dxfId="1362" priority="1439">
      <formula>"="</formula>
    </cfRule>
  </conditionalFormatting>
  <conditionalFormatting sqref="B214:B215">
    <cfRule type="expression" dxfId="1361" priority="1438">
      <formula>"="</formula>
    </cfRule>
  </conditionalFormatting>
  <conditionalFormatting sqref="K214">
    <cfRule type="expression" dxfId="1360" priority="1437">
      <formula>"="</formula>
    </cfRule>
  </conditionalFormatting>
  <conditionalFormatting sqref="K215">
    <cfRule type="expression" dxfId="1359" priority="1436">
      <formula>"="</formula>
    </cfRule>
  </conditionalFormatting>
  <conditionalFormatting sqref="C214:E214">
    <cfRule type="expression" dxfId="1358" priority="1435">
      <formula>"="</formula>
    </cfRule>
  </conditionalFormatting>
  <conditionalFormatting sqref="C215 E215 H216">
    <cfRule type="expression" dxfId="1357" priority="1434">
      <formula>"="</formula>
    </cfRule>
  </conditionalFormatting>
  <conditionalFormatting sqref="B222:B223">
    <cfRule type="expression" dxfId="1356" priority="1433">
      <formula>"="</formula>
    </cfRule>
  </conditionalFormatting>
  <conditionalFormatting sqref="B222:B223">
    <cfRule type="expression" dxfId="1355" priority="1432">
      <formula>"="</formula>
    </cfRule>
  </conditionalFormatting>
  <conditionalFormatting sqref="K222">
    <cfRule type="expression" dxfId="1354" priority="1431">
      <formula>"="</formula>
    </cfRule>
  </conditionalFormatting>
  <conditionalFormatting sqref="K223">
    <cfRule type="expression" dxfId="1353" priority="1430">
      <formula>"="</formula>
    </cfRule>
  </conditionalFormatting>
  <conditionalFormatting sqref="C222:E222">
    <cfRule type="expression" dxfId="1352" priority="1429">
      <formula>"="</formula>
    </cfRule>
  </conditionalFormatting>
  <conditionalFormatting sqref="C223 E223 J223 G223">
    <cfRule type="expression" dxfId="1351" priority="1428">
      <formula>"="</formula>
    </cfRule>
  </conditionalFormatting>
  <conditionalFormatting sqref="C254:E254">
    <cfRule type="expression" dxfId="1350" priority="1427">
      <formula>"="</formula>
    </cfRule>
  </conditionalFormatting>
  <conditionalFormatting sqref="C265:E265">
    <cfRule type="expression" dxfId="1349" priority="1426">
      <formula>"="</formula>
    </cfRule>
  </conditionalFormatting>
  <conditionalFormatting sqref="C255 E255 H256">
    <cfRule type="expression" dxfId="1348" priority="1425">
      <formula>"="</formula>
    </cfRule>
  </conditionalFormatting>
  <conditionalFormatting sqref="K266 B277">
    <cfRule type="expression" dxfId="1347" priority="1424">
      <formula>"="</formula>
    </cfRule>
  </conditionalFormatting>
  <conditionalFormatting sqref="B277">
    <cfRule type="expression" dxfId="1346" priority="1423">
      <formula>"="</formula>
    </cfRule>
  </conditionalFormatting>
  <conditionalFormatting sqref="K277">
    <cfRule type="expression" dxfId="1345" priority="1422">
      <formula>"="</formula>
    </cfRule>
  </conditionalFormatting>
  <conditionalFormatting sqref="B276">
    <cfRule type="expression" dxfId="1344" priority="1420">
      <formula>"="</formula>
    </cfRule>
  </conditionalFormatting>
  <conditionalFormatting sqref="B276">
    <cfRule type="expression" dxfId="1343" priority="1419">
      <formula>"="</formula>
    </cfRule>
  </conditionalFormatting>
  <conditionalFormatting sqref="C266:E266">
    <cfRule type="expression" dxfId="1342" priority="1418">
      <formula>"="</formula>
    </cfRule>
  </conditionalFormatting>
  <conditionalFormatting sqref="D277:E277">
    <cfRule type="expression" dxfId="1341" priority="1417">
      <formula>"="</formula>
    </cfRule>
  </conditionalFormatting>
  <conditionalFormatting sqref="C267 E267 J267 G267">
    <cfRule type="expression" dxfId="1340" priority="1416">
      <formula>"="</formula>
    </cfRule>
  </conditionalFormatting>
  <conditionalFormatting sqref="K278 B289">
    <cfRule type="expression" dxfId="1339" priority="1415">
      <formula>"="</formula>
    </cfRule>
  </conditionalFormatting>
  <conditionalFormatting sqref="B289">
    <cfRule type="expression" dxfId="1338" priority="1414">
      <formula>"="</formula>
    </cfRule>
  </conditionalFormatting>
  <conditionalFormatting sqref="K289">
    <cfRule type="expression" dxfId="1337" priority="1413">
      <formula>"="</formula>
    </cfRule>
  </conditionalFormatting>
  <conditionalFormatting sqref="B288">
    <cfRule type="expression" dxfId="1336" priority="1411">
      <formula>"="</formula>
    </cfRule>
  </conditionalFormatting>
  <conditionalFormatting sqref="B288">
    <cfRule type="expression" dxfId="1335" priority="1410">
      <formula>"="</formula>
    </cfRule>
  </conditionalFormatting>
  <conditionalFormatting sqref="C278:E278">
    <cfRule type="expression" dxfId="1334" priority="1409">
      <formula>"="</formula>
    </cfRule>
  </conditionalFormatting>
  <conditionalFormatting sqref="D289:E289">
    <cfRule type="expression" dxfId="1333" priority="1408">
      <formula>"="</formula>
    </cfRule>
  </conditionalFormatting>
  <conditionalFormatting sqref="C279 E279 J279 G279">
    <cfRule type="expression" dxfId="1332" priority="1407">
      <formula>"="</formula>
    </cfRule>
  </conditionalFormatting>
  <conditionalFormatting sqref="B290:E290">
    <cfRule type="expression" dxfId="1331" priority="1406">
      <formula>"="</formula>
    </cfRule>
  </conditionalFormatting>
  <conditionalFormatting sqref="B291:C291 E291 H292">
    <cfRule type="expression" dxfId="1330" priority="1405">
      <formula>"="</formula>
    </cfRule>
  </conditionalFormatting>
  <conditionalFormatting sqref="K308">
    <cfRule type="expression" dxfId="1329" priority="1404">
      <formula>"="</formula>
    </cfRule>
  </conditionalFormatting>
  <conditionalFormatting sqref="K309">
    <cfRule type="expression" dxfId="1328" priority="1403">
      <formula>"="</formula>
    </cfRule>
  </conditionalFormatting>
  <conditionalFormatting sqref="B308:E308">
    <cfRule type="expression" dxfId="1327" priority="1402">
      <formula>"="</formula>
    </cfRule>
  </conditionalFormatting>
  <conditionalFormatting sqref="B309:C309 E309 H310">
    <cfRule type="expression" dxfId="1326" priority="1401">
      <formula>"="</formula>
    </cfRule>
  </conditionalFormatting>
  <conditionalFormatting sqref="K326">
    <cfRule type="expression" dxfId="1325" priority="1400">
      <formula>"="</formula>
    </cfRule>
  </conditionalFormatting>
  <conditionalFormatting sqref="K327">
    <cfRule type="expression" dxfId="1324" priority="1399">
      <formula>"="</formula>
    </cfRule>
  </conditionalFormatting>
  <conditionalFormatting sqref="B326:E326">
    <cfRule type="expression" dxfId="1323" priority="1398">
      <formula>"="</formula>
    </cfRule>
  </conditionalFormatting>
  <conditionalFormatting sqref="B327:C327 E327 H328">
    <cfRule type="expression" dxfId="1322" priority="1397">
      <formula>"="</formula>
    </cfRule>
  </conditionalFormatting>
  <conditionalFormatting sqref="B343">
    <cfRule type="expression" dxfId="1321" priority="1396">
      <formula>"="</formula>
    </cfRule>
  </conditionalFormatting>
  <conditionalFormatting sqref="E343 I343:K343">
    <cfRule type="expression" dxfId="1320" priority="1394">
      <formula>"="</formula>
    </cfRule>
  </conditionalFormatting>
  <conditionalFormatting sqref="B343">
    <cfRule type="expression" dxfId="1319" priority="1395">
      <formula>"="</formula>
    </cfRule>
  </conditionalFormatting>
  <conditionalFormatting sqref="D343">
    <cfRule type="expression" dxfId="1318" priority="1393">
      <formula>"="</formula>
    </cfRule>
  </conditionalFormatting>
  <conditionalFormatting sqref="H343">
    <cfRule type="expression" dxfId="1317" priority="1392">
      <formula>"="</formula>
    </cfRule>
  </conditionalFormatting>
  <conditionalFormatting sqref="K344">
    <cfRule type="expression" dxfId="1316" priority="1390">
      <formula>"="</formula>
    </cfRule>
  </conditionalFormatting>
  <conditionalFormatting sqref="K345">
    <cfRule type="expression" dxfId="1315" priority="1389">
      <formula>"="</formula>
    </cfRule>
  </conditionalFormatting>
  <conditionalFormatting sqref="B344:E344">
    <cfRule type="expression" dxfId="1314" priority="1388">
      <formula>"="</formula>
    </cfRule>
  </conditionalFormatting>
  <conditionalFormatting sqref="B345:C345 E345 J345 G345">
    <cfRule type="expression" dxfId="1313" priority="1387">
      <formula>"="</formula>
    </cfRule>
  </conditionalFormatting>
  <conditionalFormatting sqref="B364">
    <cfRule type="expression" dxfId="1312" priority="1386">
      <formula>"="</formula>
    </cfRule>
  </conditionalFormatting>
  <conditionalFormatting sqref="B364">
    <cfRule type="expression" dxfId="1311" priority="1385">
      <formula>"="</formula>
    </cfRule>
  </conditionalFormatting>
  <conditionalFormatting sqref="J364">
    <cfRule type="expression" dxfId="1310" priority="1384">
      <formula>"="</formula>
    </cfRule>
  </conditionalFormatting>
  <conditionalFormatting sqref="G364">
    <cfRule type="expression" dxfId="1309" priority="1382">
      <formula>"="</formula>
    </cfRule>
  </conditionalFormatting>
  <conditionalFormatting sqref="D364">
    <cfRule type="expression" dxfId="1308" priority="1383">
      <formula>"="</formula>
    </cfRule>
  </conditionalFormatting>
  <conditionalFormatting sqref="I364">
    <cfRule type="expression" dxfId="1307" priority="1380">
      <formula>"="</formula>
    </cfRule>
  </conditionalFormatting>
  <conditionalFormatting sqref="K364">
    <cfRule type="expression" dxfId="1306" priority="1379">
      <formula>"="</formula>
    </cfRule>
  </conditionalFormatting>
  <conditionalFormatting sqref="E364">
    <cfRule type="expression" dxfId="1305" priority="1378">
      <formula>"="</formula>
    </cfRule>
  </conditionalFormatting>
  <conditionalFormatting sqref="K362">
    <cfRule type="expression" dxfId="1304" priority="1377">
      <formula>"="</formula>
    </cfRule>
  </conditionalFormatting>
  <conditionalFormatting sqref="K363">
    <cfRule type="expression" dxfId="1303" priority="1376">
      <formula>"="</formula>
    </cfRule>
  </conditionalFormatting>
  <conditionalFormatting sqref="B362:E362">
    <cfRule type="expression" dxfId="1302" priority="1375">
      <formula>"="</formula>
    </cfRule>
  </conditionalFormatting>
  <conditionalFormatting sqref="B363:C363 E363 H364">
    <cfRule type="expression" dxfId="1301" priority="1374">
      <formula>"="</formula>
    </cfRule>
  </conditionalFormatting>
  <conditionalFormatting sqref="B377">
    <cfRule type="expression" dxfId="1300" priority="1373">
      <formula>"="</formula>
    </cfRule>
  </conditionalFormatting>
  <conditionalFormatting sqref="B377">
    <cfRule type="expression" dxfId="1299" priority="1372">
      <formula>"="</formula>
    </cfRule>
  </conditionalFormatting>
  <conditionalFormatting sqref="J377">
    <cfRule type="expression" dxfId="1298" priority="1371">
      <formula>"="</formula>
    </cfRule>
  </conditionalFormatting>
  <conditionalFormatting sqref="G377">
    <cfRule type="expression" dxfId="1297" priority="1369">
      <formula>"="</formula>
    </cfRule>
  </conditionalFormatting>
  <conditionalFormatting sqref="D377">
    <cfRule type="expression" dxfId="1296" priority="1370">
      <formula>"="</formula>
    </cfRule>
  </conditionalFormatting>
  <conditionalFormatting sqref="I377">
    <cfRule type="expression" dxfId="1295" priority="1367">
      <formula>"="</formula>
    </cfRule>
  </conditionalFormatting>
  <conditionalFormatting sqref="K377">
    <cfRule type="expression" dxfId="1294" priority="1366">
      <formula>"="</formula>
    </cfRule>
  </conditionalFormatting>
  <conditionalFormatting sqref="E377">
    <cfRule type="expression" dxfId="1293" priority="1365">
      <formula>"="</formula>
    </cfRule>
  </conditionalFormatting>
  <conditionalFormatting sqref="K375">
    <cfRule type="expression" dxfId="1292" priority="1364">
      <formula>"="</formula>
    </cfRule>
  </conditionalFormatting>
  <conditionalFormatting sqref="K376">
    <cfRule type="expression" dxfId="1291" priority="1363">
      <formula>"="</formula>
    </cfRule>
  </conditionalFormatting>
  <conditionalFormatting sqref="B375:E375">
    <cfRule type="expression" dxfId="1290" priority="1362">
      <formula>"="</formula>
    </cfRule>
  </conditionalFormatting>
  <conditionalFormatting sqref="B376:C376 E376 J376 H377">
    <cfRule type="expression" dxfId="1289" priority="1361">
      <formula>"="</formula>
    </cfRule>
  </conditionalFormatting>
  <conditionalFormatting sqref="J391">
    <cfRule type="expression" dxfId="1288" priority="1360">
      <formula>"="</formula>
    </cfRule>
  </conditionalFormatting>
  <conditionalFormatting sqref="D391">
    <cfRule type="expression" dxfId="1287" priority="1359">
      <formula>"="</formula>
    </cfRule>
  </conditionalFormatting>
  <conditionalFormatting sqref="G391">
    <cfRule type="expression" dxfId="1286" priority="1358">
      <formula>"="</formula>
    </cfRule>
  </conditionalFormatting>
  <conditionalFormatting sqref="H391">
    <cfRule type="expression" dxfId="1285" priority="1357">
      <formula>"="</formula>
    </cfRule>
  </conditionalFormatting>
  <conditionalFormatting sqref="I391">
    <cfRule type="expression" dxfId="1284" priority="1356">
      <formula>"="</formula>
    </cfRule>
  </conditionalFormatting>
  <conditionalFormatting sqref="K391">
    <cfRule type="expression" dxfId="1283" priority="1355">
      <formula>"="</formula>
    </cfRule>
  </conditionalFormatting>
  <conditionalFormatting sqref="E391">
    <cfRule type="expression" dxfId="1282" priority="1354">
      <formula>"="</formula>
    </cfRule>
  </conditionalFormatting>
  <conditionalFormatting sqref="B391">
    <cfRule type="expression" dxfId="1281" priority="1353">
      <formula>"="</formula>
    </cfRule>
  </conditionalFormatting>
  <conditionalFormatting sqref="B391">
    <cfRule type="expression" dxfId="1280" priority="1352">
      <formula>"="</formula>
    </cfRule>
  </conditionalFormatting>
  <conditionalFormatting sqref="B390">
    <cfRule type="expression" dxfId="1279" priority="1351">
      <formula>"="</formula>
    </cfRule>
  </conditionalFormatting>
  <conditionalFormatting sqref="B390">
    <cfRule type="expression" dxfId="1278" priority="1350">
      <formula>"="</formula>
    </cfRule>
  </conditionalFormatting>
  <conditionalFormatting sqref="J390">
    <cfRule type="expression" dxfId="1277" priority="1349">
      <formula>"="</formula>
    </cfRule>
  </conditionalFormatting>
  <conditionalFormatting sqref="G390">
    <cfRule type="expression" dxfId="1276" priority="1347">
      <formula>"="</formula>
    </cfRule>
  </conditionalFormatting>
  <conditionalFormatting sqref="D390">
    <cfRule type="expression" dxfId="1275" priority="1348">
      <formula>"="</formula>
    </cfRule>
  </conditionalFormatting>
  <conditionalFormatting sqref="I390">
    <cfRule type="expression" dxfId="1274" priority="1345">
      <formula>"="</formula>
    </cfRule>
  </conditionalFormatting>
  <conditionalFormatting sqref="K390">
    <cfRule type="expression" dxfId="1273" priority="1344">
      <formula>"="</formula>
    </cfRule>
  </conditionalFormatting>
  <conditionalFormatting sqref="E390">
    <cfRule type="expression" dxfId="1272" priority="1343">
      <formula>"="</formula>
    </cfRule>
  </conditionalFormatting>
  <conditionalFormatting sqref="K388">
    <cfRule type="expression" dxfId="1271" priority="1342">
      <formula>"="</formula>
    </cfRule>
  </conditionalFormatting>
  <conditionalFormatting sqref="K389">
    <cfRule type="expression" dxfId="1270" priority="1341">
      <formula>"="</formula>
    </cfRule>
  </conditionalFormatting>
  <conditionalFormatting sqref="B388:E388">
    <cfRule type="expression" dxfId="1269" priority="1340">
      <formula>"="</formula>
    </cfRule>
  </conditionalFormatting>
  <conditionalFormatting sqref="B389:C389 E389 J389 H390">
    <cfRule type="expression" dxfId="1268" priority="1339">
      <formula>"="</formula>
    </cfRule>
  </conditionalFormatting>
  <conditionalFormatting sqref="C401:E401 D403:E403 I403:J403">
    <cfRule type="expression" dxfId="1267" priority="1338">
      <formula>"="</formula>
    </cfRule>
  </conditionalFormatting>
  <conditionalFormatting sqref="C402 E402 H403">
    <cfRule type="expression" dxfId="1266" priority="1337">
      <formula>"="</formula>
    </cfRule>
  </conditionalFormatting>
  <conditionalFormatting sqref="C410:E410">
    <cfRule type="expression" dxfId="1265" priority="1336">
      <formula>"="</formula>
    </cfRule>
  </conditionalFormatting>
  <conditionalFormatting sqref="J415 D415:E420 J417 C411 E411 H412">
    <cfRule type="expression" dxfId="1264" priority="1335">
      <formula>"="</formula>
    </cfRule>
  </conditionalFormatting>
  <conditionalFormatting sqref="B410">
    <cfRule type="expression" dxfId="1263" priority="1334">
      <formula>"="</formula>
    </cfRule>
  </conditionalFormatting>
  <conditionalFormatting sqref="C422">
    <cfRule type="expression" dxfId="1262" priority="1332">
      <formula>"="</formula>
    </cfRule>
  </conditionalFormatting>
  <conditionalFormatting sqref="E422">
    <cfRule type="expression" dxfId="1261" priority="1330">
      <formula>"="</formula>
    </cfRule>
  </conditionalFormatting>
  <conditionalFormatting sqref="B422">
    <cfRule type="expression" dxfId="1260" priority="1327">
      <formula>"="</formula>
    </cfRule>
  </conditionalFormatting>
  <conditionalFormatting sqref="J422">
    <cfRule type="expression" dxfId="1259" priority="1326">
      <formula>"="</formula>
    </cfRule>
  </conditionalFormatting>
  <conditionalFormatting sqref="H441">
    <cfRule type="expression" dxfId="1258" priority="1324">
      <formula>"="</formula>
    </cfRule>
  </conditionalFormatting>
  <conditionalFormatting sqref="I441 K441">
    <cfRule type="expression" dxfId="1257" priority="1323">
      <formula>"="</formula>
    </cfRule>
  </conditionalFormatting>
  <conditionalFormatting sqref="D441">
    <cfRule type="expression" dxfId="1256" priority="1321">
      <formula>"="</formula>
    </cfRule>
  </conditionalFormatting>
  <conditionalFormatting sqref="I443:I444">
    <cfRule type="expression" dxfId="1255" priority="1319">
      <formula>"="</formula>
    </cfRule>
  </conditionalFormatting>
  <conditionalFormatting sqref="C441">
    <cfRule type="expression" dxfId="1254" priority="1316">
      <formula>"="</formula>
    </cfRule>
  </conditionalFormatting>
  <conditionalFormatting sqref="E441">
    <cfRule type="expression" dxfId="1253" priority="1314">
      <formula>"="</formula>
    </cfRule>
  </conditionalFormatting>
  <conditionalFormatting sqref="E442 G442">
    <cfRule type="expression" dxfId="1252" priority="1313">
      <formula>"="</formula>
    </cfRule>
  </conditionalFormatting>
  <conditionalFormatting sqref="B441">
    <cfRule type="expression" dxfId="1251" priority="1311">
      <formula>"="</formula>
    </cfRule>
  </conditionalFormatting>
  <conditionalFormatting sqref="J441">
    <cfRule type="expression" dxfId="1250" priority="1310">
      <formula>"="</formula>
    </cfRule>
  </conditionalFormatting>
  <conditionalFormatting sqref="B896 D896:E896">
    <cfRule type="expression" dxfId="1249" priority="1308">
      <formula>"="</formula>
    </cfRule>
  </conditionalFormatting>
  <conditionalFormatting sqref="B897 E897 H898">
    <cfRule type="expression" dxfId="1248" priority="1307">
      <formula>"="</formula>
    </cfRule>
  </conditionalFormatting>
  <conditionalFormatting sqref="B910 K908 E910 J910">
    <cfRule type="expression" dxfId="1247" priority="1306">
      <formula>"="</formula>
    </cfRule>
  </conditionalFormatting>
  <conditionalFormatting sqref="B910">
    <cfRule type="expression" dxfId="1246" priority="1305">
      <formula>"="</formula>
    </cfRule>
  </conditionalFormatting>
  <conditionalFormatting sqref="D910">
    <cfRule type="expression" dxfId="1245" priority="1304">
      <formula>"="</formula>
    </cfRule>
  </conditionalFormatting>
  <conditionalFormatting sqref="G910">
    <cfRule type="expression" dxfId="1244" priority="1303">
      <formula>"="</formula>
    </cfRule>
  </conditionalFormatting>
  <conditionalFormatting sqref="I910">
    <cfRule type="expression" dxfId="1243" priority="1301">
      <formula>"="</formula>
    </cfRule>
  </conditionalFormatting>
  <conditionalFormatting sqref="B908 D908:E908">
    <cfRule type="expression" dxfId="1242" priority="1299">
      <formula>"="</formula>
    </cfRule>
  </conditionalFormatting>
  <conditionalFormatting sqref="B909 E909 H910 J909">
    <cfRule type="expression" dxfId="1241" priority="1298">
      <formula>"="</formula>
    </cfRule>
  </conditionalFormatting>
  <conditionalFormatting sqref="B923 K921 E923 J923">
    <cfRule type="expression" dxfId="1240" priority="1297">
      <formula>"="</formula>
    </cfRule>
  </conditionalFormatting>
  <conditionalFormatting sqref="B923">
    <cfRule type="expression" dxfId="1239" priority="1296">
      <formula>"="</formula>
    </cfRule>
  </conditionalFormatting>
  <conditionalFormatting sqref="D923">
    <cfRule type="expression" dxfId="1238" priority="1295">
      <formula>"="</formula>
    </cfRule>
  </conditionalFormatting>
  <conditionalFormatting sqref="G923">
    <cfRule type="expression" dxfId="1237" priority="1294">
      <formula>"="</formula>
    </cfRule>
  </conditionalFormatting>
  <conditionalFormatting sqref="I923">
    <cfRule type="expression" dxfId="1236" priority="1292">
      <formula>"="</formula>
    </cfRule>
  </conditionalFormatting>
  <conditionalFormatting sqref="B921 D921:E921">
    <cfRule type="expression" dxfId="1235" priority="1290">
      <formula>"="</formula>
    </cfRule>
  </conditionalFormatting>
  <conditionalFormatting sqref="B922 E922 J922 H923">
    <cfRule type="expression" dxfId="1234" priority="1289">
      <formula>"="</formula>
    </cfRule>
  </conditionalFormatting>
  <conditionalFormatting sqref="B938 K936 E938 J938">
    <cfRule type="expression" dxfId="1233" priority="1288">
      <formula>"="</formula>
    </cfRule>
  </conditionalFormatting>
  <conditionalFormatting sqref="B938">
    <cfRule type="expression" dxfId="1232" priority="1287">
      <formula>"="</formula>
    </cfRule>
  </conditionalFormatting>
  <conditionalFormatting sqref="D938">
    <cfRule type="expression" dxfId="1231" priority="1286">
      <formula>"="</formula>
    </cfRule>
  </conditionalFormatting>
  <conditionalFormatting sqref="G938">
    <cfRule type="expression" dxfId="1230" priority="1285">
      <formula>"="</formula>
    </cfRule>
  </conditionalFormatting>
  <conditionalFormatting sqref="I36">
    <cfRule type="expression" dxfId="1229" priority="1269">
      <formula>"="</formula>
    </cfRule>
  </conditionalFormatting>
  <conditionalFormatting sqref="I938">
    <cfRule type="expression" dxfId="1228" priority="1283">
      <formula>"="</formula>
    </cfRule>
  </conditionalFormatting>
  <conditionalFormatting sqref="B936 D936:E936">
    <cfRule type="expression" dxfId="1227" priority="1281">
      <formula>"="</formula>
    </cfRule>
  </conditionalFormatting>
  <conditionalFormatting sqref="B937 E937 H938">
    <cfRule type="expression" dxfId="1226" priority="1280">
      <formula>"="</formula>
    </cfRule>
  </conditionalFormatting>
  <conditionalFormatting sqref="A936">
    <cfRule type="expression" dxfId="1225" priority="1279">
      <formula>"="</formula>
    </cfRule>
  </conditionalFormatting>
  <conditionalFormatting sqref="J54">
    <cfRule type="expression" dxfId="1224" priority="1277">
      <formula>"="</formula>
    </cfRule>
  </conditionalFormatting>
  <conditionalFormatting sqref="I415">
    <cfRule type="expression" dxfId="1223" priority="1275">
      <formula>"="</formula>
    </cfRule>
  </conditionalFormatting>
  <conditionalFormatting sqref="I417">
    <cfRule type="expression" dxfId="1222" priority="1274">
      <formula>"="</formula>
    </cfRule>
  </conditionalFormatting>
  <conditionalFormatting sqref="I19">
    <cfRule type="expression" dxfId="1221" priority="1273">
      <formula>"="</formula>
    </cfRule>
  </conditionalFormatting>
  <conditionalFormatting sqref="I26">
    <cfRule type="expression" dxfId="1220" priority="1272">
      <formula>"="</formula>
    </cfRule>
  </conditionalFormatting>
  <conditionalFormatting sqref="D19">
    <cfRule type="expression" dxfId="1219" priority="1271">
      <formula>"="</formula>
    </cfRule>
  </conditionalFormatting>
  <conditionalFormatting sqref="D26">
    <cfRule type="expression" dxfId="1218" priority="1270">
      <formula>"="</formula>
    </cfRule>
  </conditionalFormatting>
  <conditionalFormatting sqref="D36">
    <cfRule type="expression" dxfId="1217" priority="1268">
      <formula>"="</formula>
    </cfRule>
  </conditionalFormatting>
  <conditionalFormatting sqref="D46">
    <cfRule type="expression" dxfId="1216" priority="1267">
      <formula>"="</formula>
    </cfRule>
  </conditionalFormatting>
  <conditionalFormatting sqref="D55">
    <cfRule type="expression" dxfId="1215" priority="1266">
      <formula>"="</formula>
    </cfRule>
  </conditionalFormatting>
  <conditionalFormatting sqref="D69">
    <cfRule type="expression" dxfId="1214" priority="1265">
      <formula>"="</formula>
    </cfRule>
  </conditionalFormatting>
  <conditionalFormatting sqref="D79">
    <cfRule type="expression" dxfId="1213" priority="1264">
      <formula>"="</formula>
    </cfRule>
  </conditionalFormatting>
  <conditionalFormatting sqref="D100">
    <cfRule type="expression" dxfId="1212" priority="1263">
      <formula>"="</formula>
    </cfRule>
  </conditionalFormatting>
  <conditionalFormatting sqref="D108">
    <cfRule type="expression" dxfId="1211" priority="1262">
      <formula>"="</formula>
    </cfRule>
  </conditionalFormatting>
  <conditionalFormatting sqref="D116">
    <cfRule type="expression" dxfId="1210" priority="1261">
      <formula>"="</formula>
    </cfRule>
  </conditionalFormatting>
  <conditionalFormatting sqref="D132">
    <cfRule type="expression" dxfId="1209" priority="1260">
      <formula>"="</formula>
    </cfRule>
  </conditionalFormatting>
  <conditionalFormatting sqref="D142">
    <cfRule type="expression" dxfId="1208" priority="1259">
      <formula>"="</formula>
    </cfRule>
  </conditionalFormatting>
  <conditionalFormatting sqref="D158">
    <cfRule type="expression" dxfId="1207" priority="1258">
      <formula>"="</formula>
    </cfRule>
  </conditionalFormatting>
  <conditionalFormatting sqref="D170">
    <cfRule type="expression" dxfId="1206" priority="1257">
      <formula>"="</formula>
    </cfRule>
  </conditionalFormatting>
  <conditionalFormatting sqref="D186">
    <cfRule type="expression" dxfId="1205" priority="1256">
      <formula>"="</formula>
    </cfRule>
  </conditionalFormatting>
  <conditionalFormatting sqref="D198">
    <cfRule type="expression" dxfId="1204" priority="1255">
      <formula>"="</formula>
    </cfRule>
  </conditionalFormatting>
  <conditionalFormatting sqref="D207">
    <cfRule type="expression" dxfId="1203" priority="1254">
      <formula>"="</formula>
    </cfRule>
  </conditionalFormatting>
  <conditionalFormatting sqref="D215">
    <cfRule type="expression" dxfId="1202" priority="1253">
      <formula>"="</formula>
    </cfRule>
  </conditionalFormatting>
  <conditionalFormatting sqref="D223">
    <cfRule type="expression" dxfId="1201" priority="1252">
      <formula>"="</formula>
    </cfRule>
  </conditionalFormatting>
  <conditionalFormatting sqref="D233">
    <cfRule type="expression" dxfId="1200" priority="1251">
      <formula>"="</formula>
    </cfRule>
  </conditionalFormatting>
  <conditionalFormatting sqref="D255">
    <cfRule type="expression" dxfId="1199" priority="1250">
      <formula>"="</formula>
    </cfRule>
  </conditionalFormatting>
  <conditionalFormatting sqref="D267">
    <cfRule type="expression" dxfId="1198" priority="1249">
      <formula>"="</formula>
    </cfRule>
  </conditionalFormatting>
  <conditionalFormatting sqref="D279">
    <cfRule type="expression" dxfId="1197" priority="1248">
      <formula>"="</formula>
    </cfRule>
  </conditionalFormatting>
  <conditionalFormatting sqref="D291">
    <cfRule type="expression" dxfId="1196" priority="1247">
      <formula>"="</formula>
    </cfRule>
  </conditionalFormatting>
  <conditionalFormatting sqref="D309">
    <cfRule type="expression" dxfId="1195" priority="1246">
      <formula>"="</formula>
    </cfRule>
  </conditionalFormatting>
  <conditionalFormatting sqref="D327">
    <cfRule type="expression" dxfId="1194" priority="1245">
      <formula>"="</formula>
    </cfRule>
  </conditionalFormatting>
  <conditionalFormatting sqref="D345">
    <cfRule type="expression" dxfId="1193" priority="1244">
      <formula>"="</formula>
    </cfRule>
  </conditionalFormatting>
  <conditionalFormatting sqref="D363">
    <cfRule type="expression" dxfId="1192" priority="1243">
      <formula>"="</formula>
    </cfRule>
  </conditionalFormatting>
  <conditionalFormatting sqref="D376">
    <cfRule type="expression" dxfId="1191" priority="1242">
      <formula>"="</formula>
    </cfRule>
  </conditionalFormatting>
  <conditionalFormatting sqref="D389">
    <cfRule type="expression" dxfId="1190" priority="1241">
      <formula>"="</formula>
    </cfRule>
  </conditionalFormatting>
  <conditionalFormatting sqref="D402">
    <cfRule type="expression" dxfId="1189" priority="1240">
      <formula>"="</formula>
    </cfRule>
  </conditionalFormatting>
  <conditionalFormatting sqref="D411">
    <cfRule type="expression" dxfId="1188" priority="1239">
      <formula>"="</formula>
    </cfRule>
  </conditionalFormatting>
  <conditionalFormatting sqref="D423">
    <cfRule type="expression" dxfId="1187" priority="1238">
      <formula>"="</formula>
    </cfRule>
  </conditionalFormatting>
  <conditionalFormatting sqref="D442">
    <cfRule type="expression" dxfId="1186" priority="1237">
      <formula>"="</formula>
    </cfRule>
  </conditionalFormatting>
  <conditionalFormatting sqref="D450">
    <cfRule type="expression" dxfId="1185" priority="1236">
      <formula>"="</formula>
    </cfRule>
  </conditionalFormatting>
  <conditionalFormatting sqref="D544">
    <cfRule type="expression" dxfId="1184" priority="1235">
      <formula>"="</formula>
    </cfRule>
  </conditionalFormatting>
  <conditionalFormatting sqref="D568">
    <cfRule type="expression" dxfId="1183" priority="1234">
      <formula>"="</formula>
    </cfRule>
  </conditionalFormatting>
  <conditionalFormatting sqref="D595">
    <cfRule type="expression" dxfId="1182" priority="1233">
      <formula>"="</formula>
    </cfRule>
  </conditionalFormatting>
  <conditionalFormatting sqref="D603">
    <cfRule type="expression" dxfId="1181" priority="1232">
      <formula>"="</formula>
    </cfRule>
  </conditionalFormatting>
  <conditionalFormatting sqref="D611">
    <cfRule type="expression" dxfId="1180" priority="1231">
      <formula>"="</formula>
    </cfRule>
  </conditionalFormatting>
  <conditionalFormatting sqref="D625">
    <cfRule type="expression" dxfId="1179" priority="1230">
      <formula>"="</formula>
    </cfRule>
  </conditionalFormatting>
  <conditionalFormatting sqref="D636">
    <cfRule type="expression" dxfId="1178" priority="1229">
      <formula>"="</formula>
    </cfRule>
  </conditionalFormatting>
  <conditionalFormatting sqref="D649">
    <cfRule type="expression" dxfId="1177" priority="1228">
      <formula>"="</formula>
    </cfRule>
  </conditionalFormatting>
  <conditionalFormatting sqref="D667">
    <cfRule type="expression" dxfId="1176" priority="1227">
      <formula>"="</formula>
    </cfRule>
  </conditionalFormatting>
  <conditionalFormatting sqref="D686">
    <cfRule type="expression" dxfId="1175" priority="1226">
      <formula>"="</formula>
    </cfRule>
  </conditionalFormatting>
  <conditionalFormatting sqref="D700">
    <cfRule type="expression" dxfId="1174" priority="1225">
      <formula>"="</formula>
    </cfRule>
  </conditionalFormatting>
  <conditionalFormatting sqref="D714">
    <cfRule type="expression" dxfId="1173" priority="1224">
      <formula>"="</formula>
    </cfRule>
  </conditionalFormatting>
  <conditionalFormatting sqref="D732">
    <cfRule type="expression" dxfId="1172" priority="1223">
      <formula>"="</formula>
    </cfRule>
  </conditionalFormatting>
  <conditionalFormatting sqref="D769">
    <cfRule type="expression" dxfId="1171" priority="1222">
      <formula>"="</formula>
    </cfRule>
  </conditionalFormatting>
  <conditionalFormatting sqref="D897">
    <cfRule type="expression" dxfId="1170" priority="1221">
      <formula>"="</formula>
    </cfRule>
  </conditionalFormatting>
  <conditionalFormatting sqref="D909">
    <cfRule type="expression" dxfId="1169" priority="1220">
      <formula>"="</formula>
    </cfRule>
  </conditionalFormatting>
  <conditionalFormatting sqref="D922">
    <cfRule type="expression" dxfId="1168" priority="1219">
      <formula>"="</formula>
    </cfRule>
  </conditionalFormatting>
  <conditionalFormatting sqref="D937">
    <cfRule type="expression" dxfId="1167" priority="1218">
      <formula>"="</formula>
    </cfRule>
  </conditionalFormatting>
  <conditionalFormatting sqref="I46">
    <cfRule type="expression" dxfId="1166" priority="1217">
      <formula>"="</formula>
    </cfRule>
  </conditionalFormatting>
  <conditionalFormatting sqref="I55">
    <cfRule type="expression" dxfId="1165" priority="1216">
      <formula>"="</formula>
    </cfRule>
  </conditionalFormatting>
  <conditionalFormatting sqref="I79">
    <cfRule type="expression" dxfId="1164" priority="1215">
      <formula>"="</formula>
    </cfRule>
  </conditionalFormatting>
  <conditionalFormatting sqref="H100:H101">
    <cfRule type="expression" dxfId="1163" priority="1211">
      <formula>"="</formula>
    </cfRule>
  </conditionalFormatting>
  <conditionalFormatting sqref="I100">
    <cfRule type="expression" dxfId="1162" priority="1209">
      <formula>"="</formula>
    </cfRule>
  </conditionalFormatting>
  <conditionalFormatting sqref="H108:H109">
    <cfRule type="expression" dxfId="1161" priority="1207">
      <formula>"="</formula>
    </cfRule>
  </conditionalFormatting>
  <conditionalFormatting sqref="I108">
    <cfRule type="expression" dxfId="1160" priority="1205">
      <formula>"="</formula>
    </cfRule>
  </conditionalFormatting>
  <conditionalFormatting sqref="H116:H117">
    <cfRule type="expression" dxfId="1159" priority="1203">
      <formula>"="</formula>
    </cfRule>
  </conditionalFormatting>
  <conditionalFormatting sqref="I116">
    <cfRule type="expression" dxfId="1158" priority="1201">
      <formula>"="</formula>
    </cfRule>
  </conditionalFormatting>
  <conditionalFormatting sqref="H132:H133">
    <cfRule type="expression" dxfId="1157" priority="1199">
      <formula>"="</formula>
    </cfRule>
  </conditionalFormatting>
  <conditionalFormatting sqref="I132">
    <cfRule type="expression" dxfId="1156" priority="1197">
      <formula>"="</formula>
    </cfRule>
  </conditionalFormatting>
  <conditionalFormatting sqref="H142:H143">
    <cfRule type="expression" dxfId="1155" priority="1195">
      <formula>"="</formula>
    </cfRule>
  </conditionalFormatting>
  <conditionalFormatting sqref="I142">
    <cfRule type="expression" dxfId="1154" priority="1193">
      <formula>"="</formula>
    </cfRule>
  </conditionalFormatting>
  <conditionalFormatting sqref="H158:H159">
    <cfRule type="expression" dxfId="1153" priority="1191">
      <formula>"="</formula>
    </cfRule>
  </conditionalFormatting>
  <conditionalFormatting sqref="I158">
    <cfRule type="expression" dxfId="1152" priority="1189">
      <formula>"="</formula>
    </cfRule>
  </conditionalFormatting>
  <conditionalFormatting sqref="H208">
    <cfRule type="expression" dxfId="1151" priority="1186">
      <formula>"="</formula>
    </cfRule>
  </conditionalFormatting>
  <conditionalFormatting sqref="H224">
    <cfRule type="expression" dxfId="1150" priority="1185">
      <formula>"="</formula>
    </cfRule>
  </conditionalFormatting>
  <conditionalFormatting sqref="H268">
    <cfRule type="expression" dxfId="1149" priority="1184">
      <formula>"="</formula>
    </cfRule>
  </conditionalFormatting>
  <conditionalFormatting sqref="H280">
    <cfRule type="expression" dxfId="1148" priority="1183">
      <formula>"="</formula>
    </cfRule>
  </conditionalFormatting>
  <conditionalFormatting sqref="H346">
    <cfRule type="expression" dxfId="1147" priority="1182">
      <formula>"="</formula>
    </cfRule>
  </conditionalFormatting>
  <conditionalFormatting sqref="I376">
    <cfRule type="expression" dxfId="1146" priority="1181">
      <formula>"="</formula>
    </cfRule>
  </conditionalFormatting>
  <conditionalFormatting sqref="I389">
    <cfRule type="expression" dxfId="1145" priority="1180">
      <formula>"="</formula>
    </cfRule>
  </conditionalFormatting>
  <conditionalFormatting sqref="I442">
    <cfRule type="expression" dxfId="1144" priority="1178">
      <formula>"="</formula>
    </cfRule>
  </conditionalFormatting>
  <conditionalFormatting sqref="H442:H443">
    <cfRule type="expression" dxfId="1143" priority="1179">
      <formula>"="</formula>
    </cfRule>
  </conditionalFormatting>
  <conditionalFormatting sqref="E544 H545">
    <cfRule type="expression" dxfId="1142" priority="1176">
      <formula>"="</formula>
    </cfRule>
  </conditionalFormatting>
  <conditionalFormatting sqref="I544">
    <cfRule type="expression" dxfId="1141" priority="1175">
      <formula>"="</formula>
    </cfRule>
  </conditionalFormatting>
  <conditionalFormatting sqref="H187">
    <cfRule type="expression" dxfId="1140" priority="1174">
      <formula>"="</formula>
    </cfRule>
  </conditionalFormatting>
  <conditionalFormatting sqref="H199">
    <cfRule type="expression" dxfId="1139" priority="1173">
      <formula>"="</formula>
    </cfRule>
  </conditionalFormatting>
  <conditionalFormatting sqref="I568">
    <cfRule type="expression" dxfId="1138" priority="1172">
      <formula>"="</formula>
    </cfRule>
  </conditionalFormatting>
  <conditionalFormatting sqref="I595">
    <cfRule type="expression" dxfId="1137" priority="1171">
      <formula>"="</formula>
    </cfRule>
  </conditionalFormatting>
  <conditionalFormatting sqref="I603">
    <cfRule type="expression" dxfId="1136" priority="1170">
      <formula>"="</formula>
    </cfRule>
  </conditionalFormatting>
  <conditionalFormatting sqref="I611">
    <cfRule type="expression" dxfId="1135" priority="1169">
      <formula>"="</formula>
    </cfRule>
  </conditionalFormatting>
  <conditionalFormatting sqref="I625">
    <cfRule type="expression" dxfId="1134" priority="1168">
      <formula>"="</formula>
    </cfRule>
  </conditionalFormatting>
  <conditionalFormatting sqref="I649">
    <cfRule type="expression" dxfId="1133" priority="1167">
      <formula>"="</formula>
    </cfRule>
  </conditionalFormatting>
  <conditionalFormatting sqref="I667">
    <cfRule type="expression" dxfId="1132" priority="1166">
      <formula>"="</formula>
    </cfRule>
  </conditionalFormatting>
  <conditionalFormatting sqref="I686">
    <cfRule type="expression" dxfId="1131" priority="1165">
      <formula>"="</formula>
    </cfRule>
  </conditionalFormatting>
  <conditionalFormatting sqref="I700">
    <cfRule type="expression" dxfId="1130" priority="1164">
      <formula>"="</formula>
    </cfRule>
  </conditionalFormatting>
  <conditionalFormatting sqref="I714">
    <cfRule type="expression" dxfId="1129" priority="1163">
      <formula>"="</formula>
    </cfRule>
  </conditionalFormatting>
  <conditionalFormatting sqref="I732">
    <cfRule type="expression" dxfId="1128" priority="1162">
      <formula>"="</formula>
    </cfRule>
  </conditionalFormatting>
  <conditionalFormatting sqref="I769">
    <cfRule type="expression" dxfId="1127" priority="1161">
      <formula>"="</formula>
    </cfRule>
  </conditionalFormatting>
  <conditionalFormatting sqref="I909">
    <cfRule type="expression" dxfId="1126" priority="1159">
      <formula>"="</formula>
    </cfRule>
  </conditionalFormatting>
  <conditionalFormatting sqref="I922">
    <cfRule type="expression" dxfId="1125" priority="1158">
      <formula>"="</formula>
    </cfRule>
  </conditionalFormatting>
  <conditionalFormatting sqref="C25:C26">
    <cfRule type="expression" dxfId="1124" priority="1110">
      <formula>"="</formula>
    </cfRule>
  </conditionalFormatting>
  <conditionalFormatting sqref="C612:C623">
    <cfRule type="expression" dxfId="1123" priority="1066">
      <formula>"="</formula>
    </cfRule>
  </conditionalFormatting>
  <conditionalFormatting sqref="C626:C634">
    <cfRule type="expression" dxfId="1122" priority="1063">
      <formula>"="</formula>
    </cfRule>
  </conditionalFormatting>
  <conditionalFormatting sqref="C637:C647">
    <cfRule type="expression" dxfId="1121" priority="1060">
      <formula>"="</formula>
    </cfRule>
  </conditionalFormatting>
  <conditionalFormatting sqref="C650:C665">
    <cfRule type="expression" dxfId="1120" priority="1057">
      <formula>"="</formula>
    </cfRule>
  </conditionalFormatting>
  <conditionalFormatting sqref="C668:C684">
    <cfRule type="expression" dxfId="1119" priority="1054">
      <formula>"="</formula>
    </cfRule>
  </conditionalFormatting>
  <conditionalFormatting sqref="C687:C698">
    <cfRule type="expression" dxfId="1118" priority="1051">
      <formula>"="</formula>
    </cfRule>
  </conditionalFormatting>
  <conditionalFormatting sqref="C699">
    <cfRule type="expression" dxfId="1117" priority="1049">
      <formula>"="</formula>
    </cfRule>
  </conditionalFormatting>
  <conditionalFormatting sqref="C701:C712">
    <cfRule type="expression" dxfId="1116" priority="1048">
      <formula>"="</formula>
    </cfRule>
  </conditionalFormatting>
  <conditionalFormatting sqref="C713">
    <cfRule type="expression" dxfId="1115" priority="1046">
      <formula>"="</formula>
    </cfRule>
  </conditionalFormatting>
  <conditionalFormatting sqref="C731">
    <cfRule type="expression" dxfId="1114" priority="1043">
      <formula>"="</formula>
    </cfRule>
  </conditionalFormatting>
  <conditionalFormatting sqref="C769">
    <cfRule type="expression" dxfId="1113" priority="1041">
      <formula>"="</formula>
    </cfRule>
  </conditionalFormatting>
  <conditionalFormatting sqref="C908">
    <cfRule type="expression" dxfId="1112" priority="1034">
      <formula>"="</formula>
    </cfRule>
  </conditionalFormatting>
  <conditionalFormatting sqref="C922">
    <cfRule type="expression" dxfId="1111" priority="1032">
      <formula>"="</formula>
    </cfRule>
  </conditionalFormatting>
  <conditionalFormatting sqref="C923:C935">
    <cfRule type="expression" dxfId="1110" priority="1030">
      <formula>"="</formula>
    </cfRule>
  </conditionalFormatting>
  <conditionalFormatting sqref="C604:C609">
    <cfRule type="expression" dxfId="1109" priority="1069">
      <formula>"="</formula>
    </cfRule>
  </conditionalFormatting>
  <conditionalFormatting sqref="C260:C264">
    <cfRule type="expression" dxfId="1108" priority="1141">
      <formula>"="</formula>
    </cfRule>
  </conditionalFormatting>
  <conditionalFormatting sqref="C107:C110">
    <cfRule type="expression" dxfId="1107" priority="1024">
      <formula>"="</formula>
    </cfRule>
  </conditionalFormatting>
  <conditionalFormatting sqref="C256:C259">
    <cfRule type="expression" dxfId="1106" priority="1139">
      <formula>"="</formula>
    </cfRule>
  </conditionalFormatting>
  <conditionalFormatting sqref="C268:C277">
    <cfRule type="expression" dxfId="1105" priority="1138">
      <formula>"="</formula>
    </cfRule>
  </conditionalFormatting>
  <conditionalFormatting sqref="C635">
    <cfRule type="expression" dxfId="1104" priority="1061">
      <formula>"="</formula>
    </cfRule>
  </conditionalFormatting>
  <conditionalFormatting sqref="C224:C230">
    <cfRule type="expression" dxfId="1103" priority="1136">
      <formula>"="</formula>
    </cfRule>
  </conditionalFormatting>
  <conditionalFormatting sqref="C231">
    <cfRule type="expression" dxfId="1102" priority="1135">
      <formula>"="</formula>
    </cfRule>
  </conditionalFormatting>
  <conditionalFormatting sqref="C216:C221">
    <cfRule type="expression" dxfId="1101" priority="1134">
      <formula>"="</formula>
    </cfRule>
  </conditionalFormatting>
  <conditionalFormatting sqref="C208:C213">
    <cfRule type="expression" dxfId="1100" priority="1133">
      <formula>"="</formula>
    </cfRule>
  </conditionalFormatting>
  <conditionalFormatting sqref="C199:C204">
    <cfRule type="expression" dxfId="1099" priority="1132">
      <formula>"="</formula>
    </cfRule>
  </conditionalFormatting>
  <conditionalFormatting sqref="C205">
    <cfRule type="expression" dxfId="1098" priority="1131">
      <formula>"="</formula>
    </cfRule>
  </conditionalFormatting>
  <conditionalFormatting sqref="C187:C196">
    <cfRule type="expression" dxfId="1097" priority="1130">
      <formula>"="</formula>
    </cfRule>
  </conditionalFormatting>
  <conditionalFormatting sqref="C171:C184">
    <cfRule type="expression" dxfId="1096" priority="1129">
      <formula>"="</formula>
    </cfRule>
  </conditionalFormatting>
  <conditionalFormatting sqref="C159:C168">
    <cfRule type="expression" dxfId="1095" priority="1128">
      <formula>"="</formula>
    </cfRule>
  </conditionalFormatting>
  <conditionalFormatting sqref="C143:C156">
    <cfRule type="expression" dxfId="1094" priority="1127">
      <formula>"="</formula>
    </cfRule>
  </conditionalFormatting>
  <conditionalFormatting sqref="C133:C140">
    <cfRule type="expression" dxfId="1093" priority="1126">
      <formula>"="</formula>
    </cfRule>
  </conditionalFormatting>
  <conditionalFormatting sqref="C117:C130">
    <cfRule type="expression" dxfId="1092" priority="1125">
      <formula>"="</formula>
    </cfRule>
  </conditionalFormatting>
  <conditionalFormatting sqref="C111:C114">
    <cfRule type="expression" dxfId="1091" priority="1124">
      <formula>"="</formula>
    </cfRule>
  </conditionalFormatting>
  <conditionalFormatting sqref="C104:C106">
    <cfRule type="expression" dxfId="1090" priority="1123">
      <formula>"="</formula>
    </cfRule>
  </conditionalFormatting>
  <conditionalFormatting sqref="C70:C77">
    <cfRule type="expression" dxfId="1089" priority="1122">
      <formula>"="</formula>
    </cfRule>
  </conditionalFormatting>
  <conditionalFormatting sqref="C70:C77">
    <cfRule type="expression" dxfId="1088" priority="1121">
      <formula>"="</formula>
    </cfRule>
  </conditionalFormatting>
  <conditionalFormatting sqref="C54:C67">
    <cfRule type="expression" dxfId="1087" priority="1120">
      <formula>"="</formula>
    </cfRule>
  </conditionalFormatting>
  <conditionalFormatting sqref="C54:C67">
    <cfRule type="expression" dxfId="1086" priority="1119">
      <formula>"="</formula>
    </cfRule>
  </conditionalFormatting>
  <conditionalFormatting sqref="C45:C53">
    <cfRule type="expression" dxfId="1085" priority="1118">
      <formula>"="</formula>
    </cfRule>
  </conditionalFormatting>
  <conditionalFormatting sqref="C45:C53">
    <cfRule type="expression" dxfId="1084" priority="1117">
      <formula>"="</formula>
    </cfRule>
  </conditionalFormatting>
  <conditionalFormatting sqref="C37:C44">
    <cfRule type="expression" dxfId="1083" priority="1116">
      <formula>"="</formula>
    </cfRule>
  </conditionalFormatting>
  <conditionalFormatting sqref="C37:C44">
    <cfRule type="expression" dxfId="1082" priority="1115">
      <formula>"="</formula>
    </cfRule>
  </conditionalFormatting>
  <conditionalFormatting sqref="C35:C36">
    <cfRule type="expression" dxfId="1081" priority="1114">
      <formula>"="</formula>
    </cfRule>
  </conditionalFormatting>
  <conditionalFormatting sqref="C35:C36">
    <cfRule type="expression" dxfId="1080" priority="1113">
      <formula>"="</formula>
    </cfRule>
  </conditionalFormatting>
  <conditionalFormatting sqref="C27:C34">
    <cfRule type="expression" dxfId="1079" priority="1112">
      <formula>"="</formula>
    </cfRule>
  </conditionalFormatting>
  <conditionalFormatting sqref="C27:C34">
    <cfRule type="expression" dxfId="1078" priority="1111">
      <formula>"="</formula>
    </cfRule>
  </conditionalFormatting>
  <conditionalFormatting sqref="C25:C26">
    <cfRule type="expression" dxfId="1077" priority="1109">
      <formula>"="</formula>
    </cfRule>
  </conditionalFormatting>
  <conditionalFormatting sqref="C20:C24">
    <cfRule type="expression" dxfId="1076" priority="1108">
      <formula>"="</formula>
    </cfRule>
  </conditionalFormatting>
  <conditionalFormatting sqref="C20:C24">
    <cfRule type="expression" dxfId="1075" priority="1107">
      <formula>"="</formula>
    </cfRule>
  </conditionalFormatting>
  <conditionalFormatting sqref="C18:C19">
    <cfRule type="expression" dxfId="1074" priority="1106">
      <formula>"="</formula>
    </cfRule>
  </conditionalFormatting>
  <conditionalFormatting sqref="C18:C19">
    <cfRule type="expression" dxfId="1073" priority="1105">
      <formula>"="</formula>
    </cfRule>
  </conditionalFormatting>
  <conditionalFormatting sqref="C8:C17">
    <cfRule type="expression" dxfId="1072" priority="1104">
      <formula>"="</formula>
    </cfRule>
  </conditionalFormatting>
  <conditionalFormatting sqref="C8:C17">
    <cfRule type="expression" dxfId="1071" priority="1103">
      <formula>"="</formula>
    </cfRule>
  </conditionalFormatting>
  <conditionalFormatting sqref="C6:C7">
    <cfRule type="expression" dxfId="1070" priority="1102">
      <formula>"="</formula>
    </cfRule>
  </conditionalFormatting>
  <conditionalFormatting sqref="C6:C7">
    <cfRule type="expression" dxfId="1069" priority="1101">
      <formula>"="</formula>
    </cfRule>
  </conditionalFormatting>
  <conditionalFormatting sqref="C107:C110">
    <cfRule type="expression" dxfId="1068" priority="1023">
      <formula>"="</formula>
    </cfRule>
  </conditionalFormatting>
  <conditionalFormatting sqref="C2:C5">
    <cfRule type="expression" dxfId="1067" priority="1100">
      <formula>"="</formula>
    </cfRule>
  </conditionalFormatting>
  <conditionalFormatting sqref="C2:C5">
    <cfRule type="expression" dxfId="1066" priority="1099">
      <formula>"="</formula>
    </cfRule>
  </conditionalFormatting>
  <conditionalFormatting sqref="C232">
    <cfRule type="expression" dxfId="1065" priority="1098">
      <formula>"="</formula>
    </cfRule>
  </conditionalFormatting>
  <conditionalFormatting sqref="C233">
    <cfRule type="expression" dxfId="1064" priority="1097">
      <formula>"="</formula>
    </cfRule>
  </conditionalFormatting>
  <conditionalFormatting sqref="C234:C253">
    <cfRule type="expression" dxfId="1063" priority="1096">
      <formula>"="</formula>
    </cfRule>
  </conditionalFormatting>
  <conditionalFormatting sqref="C280:C289">
    <cfRule type="expression" dxfId="1062" priority="1095">
      <formula>"="</formula>
    </cfRule>
  </conditionalFormatting>
  <conditionalFormatting sqref="C292:C307">
    <cfRule type="expression" dxfId="1061" priority="1094">
      <formula>"="</formula>
    </cfRule>
  </conditionalFormatting>
  <conditionalFormatting sqref="C310:C325">
    <cfRule type="expression" dxfId="1060" priority="1093">
      <formula>"="</formula>
    </cfRule>
  </conditionalFormatting>
  <conditionalFormatting sqref="C328:C343">
    <cfRule type="expression" dxfId="1059" priority="1092">
      <formula>"="</formula>
    </cfRule>
  </conditionalFormatting>
  <conditionalFormatting sqref="C346:C361">
    <cfRule type="expression" dxfId="1058" priority="1091">
      <formula>"="</formula>
    </cfRule>
  </conditionalFormatting>
  <conditionalFormatting sqref="C364:C374">
    <cfRule type="expression" dxfId="1057" priority="1090">
      <formula>"="</formula>
    </cfRule>
  </conditionalFormatting>
  <conditionalFormatting sqref="C377:C387">
    <cfRule type="expression" dxfId="1056" priority="1089">
      <formula>"="</formula>
    </cfRule>
  </conditionalFormatting>
  <conditionalFormatting sqref="C390:C400">
    <cfRule type="expression" dxfId="1055" priority="1088">
      <formula>"="</formula>
    </cfRule>
  </conditionalFormatting>
  <conditionalFormatting sqref="C403:C409">
    <cfRule type="expression" dxfId="1054" priority="1087">
      <formula>"="</formula>
    </cfRule>
  </conditionalFormatting>
  <conditionalFormatting sqref="C412:C421">
    <cfRule type="expression" dxfId="1053" priority="1086">
      <formula>"="</formula>
    </cfRule>
  </conditionalFormatting>
  <conditionalFormatting sqref="C424:C440">
    <cfRule type="expression" dxfId="1052" priority="1085">
      <formula>"="</formula>
    </cfRule>
  </conditionalFormatting>
  <conditionalFormatting sqref="C443:C448">
    <cfRule type="expression" dxfId="1051" priority="1084">
      <formula>"="</formula>
    </cfRule>
  </conditionalFormatting>
  <conditionalFormatting sqref="C450">
    <cfRule type="expression" dxfId="1050" priority="1083">
      <formula>"="</formula>
    </cfRule>
  </conditionalFormatting>
  <conditionalFormatting sqref="C449">
    <cfRule type="expression" dxfId="1049" priority="1082">
      <formula>"="</formula>
    </cfRule>
  </conditionalFormatting>
  <conditionalFormatting sqref="C451:C542">
    <cfRule type="expression" dxfId="1048" priority="1081">
      <formula>"="</formula>
    </cfRule>
  </conditionalFormatting>
  <conditionalFormatting sqref="C544">
    <cfRule type="expression" dxfId="1047" priority="1080">
      <formula>"="</formula>
    </cfRule>
  </conditionalFormatting>
  <conditionalFormatting sqref="C543">
    <cfRule type="expression" dxfId="1046" priority="1079">
      <formula>"="</formula>
    </cfRule>
  </conditionalFormatting>
  <conditionalFormatting sqref="C545:C566">
    <cfRule type="expression" dxfId="1045" priority="1078">
      <formula>"="</formula>
    </cfRule>
  </conditionalFormatting>
  <conditionalFormatting sqref="C568">
    <cfRule type="expression" dxfId="1044" priority="1077">
      <formula>"="</formula>
    </cfRule>
  </conditionalFormatting>
  <conditionalFormatting sqref="C567">
    <cfRule type="expression" dxfId="1043" priority="1076">
      <formula>"="</formula>
    </cfRule>
  </conditionalFormatting>
  <conditionalFormatting sqref="C569:C593">
    <cfRule type="expression" dxfId="1042" priority="1075">
      <formula>"="</formula>
    </cfRule>
  </conditionalFormatting>
  <conditionalFormatting sqref="C595">
    <cfRule type="expression" dxfId="1041" priority="1074">
      <formula>"="</formula>
    </cfRule>
  </conditionalFormatting>
  <conditionalFormatting sqref="C594">
    <cfRule type="expression" dxfId="1040" priority="1073">
      <formula>"="</formula>
    </cfRule>
  </conditionalFormatting>
  <conditionalFormatting sqref="C596:C601">
    <cfRule type="expression" dxfId="1039" priority="1072">
      <formula>"="</formula>
    </cfRule>
  </conditionalFormatting>
  <conditionalFormatting sqref="C603">
    <cfRule type="expression" dxfId="1038" priority="1071">
      <formula>"="</formula>
    </cfRule>
  </conditionalFormatting>
  <conditionalFormatting sqref="C602">
    <cfRule type="expression" dxfId="1037" priority="1070">
      <formula>"="</formula>
    </cfRule>
  </conditionalFormatting>
  <conditionalFormatting sqref="C611">
    <cfRule type="expression" dxfId="1036" priority="1068">
      <formula>"="</formula>
    </cfRule>
  </conditionalFormatting>
  <conditionalFormatting sqref="C610">
    <cfRule type="expression" dxfId="1035" priority="1067">
      <formula>"="</formula>
    </cfRule>
  </conditionalFormatting>
  <conditionalFormatting sqref="C625">
    <cfRule type="expression" dxfId="1034" priority="1065">
      <formula>"="</formula>
    </cfRule>
  </conditionalFormatting>
  <conditionalFormatting sqref="C624">
    <cfRule type="expression" dxfId="1033" priority="1064">
      <formula>"="</formula>
    </cfRule>
  </conditionalFormatting>
  <conditionalFormatting sqref="C636">
    <cfRule type="expression" dxfId="1032" priority="1062">
      <formula>"="</formula>
    </cfRule>
  </conditionalFormatting>
  <conditionalFormatting sqref="C649">
    <cfRule type="expression" dxfId="1031" priority="1059">
      <formula>"="</formula>
    </cfRule>
  </conditionalFormatting>
  <conditionalFormatting sqref="C648">
    <cfRule type="expression" dxfId="1030" priority="1058">
      <formula>"="</formula>
    </cfRule>
  </conditionalFormatting>
  <conditionalFormatting sqref="C667">
    <cfRule type="expression" dxfId="1029" priority="1056">
      <formula>"="</formula>
    </cfRule>
  </conditionalFormatting>
  <conditionalFormatting sqref="C666">
    <cfRule type="expression" dxfId="1028" priority="1055">
      <formula>"="</formula>
    </cfRule>
  </conditionalFormatting>
  <conditionalFormatting sqref="C686">
    <cfRule type="expression" dxfId="1027" priority="1053">
      <formula>"="</formula>
    </cfRule>
  </conditionalFormatting>
  <conditionalFormatting sqref="C685">
    <cfRule type="expression" dxfId="1026" priority="1052">
      <formula>"="</formula>
    </cfRule>
  </conditionalFormatting>
  <conditionalFormatting sqref="C700">
    <cfRule type="expression" dxfId="1025" priority="1050">
      <formula>"="</formula>
    </cfRule>
  </conditionalFormatting>
  <conditionalFormatting sqref="C714">
    <cfRule type="expression" dxfId="1024" priority="1047">
      <formula>"="</formula>
    </cfRule>
  </conditionalFormatting>
  <conditionalFormatting sqref="C715:C730">
    <cfRule type="expression" dxfId="1023" priority="1045">
      <formula>"="</formula>
    </cfRule>
  </conditionalFormatting>
  <conditionalFormatting sqref="C732">
    <cfRule type="expression" dxfId="1022" priority="1044">
      <formula>"="</formula>
    </cfRule>
  </conditionalFormatting>
  <conditionalFormatting sqref="C733:C767">
    <cfRule type="expression" dxfId="1021" priority="1042">
      <formula>"="</formula>
    </cfRule>
  </conditionalFormatting>
  <conditionalFormatting sqref="C768">
    <cfRule type="expression" dxfId="1020" priority="1040">
      <formula>"="</formula>
    </cfRule>
  </conditionalFormatting>
  <conditionalFormatting sqref="C770:C814">
    <cfRule type="expression" dxfId="1019" priority="1039">
      <formula>"="</formula>
    </cfRule>
  </conditionalFormatting>
  <conditionalFormatting sqref="C897">
    <cfRule type="expression" dxfId="1018" priority="1038">
      <formula>"="</formula>
    </cfRule>
  </conditionalFormatting>
  <conditionalFormatting sqref="C896">
    <cfRule type="expression" dxfId="1017" priority="1037">
      <formula>"="</formula>
    </cfRule>
  </conditionalFormatting>
  <conditionalFormatting sqref="C898:C907">
    <cfRule type="expression" dxfId="1016" priority="1036">
      <formula>"="</formula>
    </cfRule>
  </conditionalFormatting>
  <conditionalFormatting sqref="C909">
    <cfRule type="expression" dxfId="1015" priority="1035">
      <formula>"="</formula>
    </cfRule>
  </conditionalFormatting>
  <conditionalFormatting sqref="C910:C920">
    <cfRule type="expression" dxfId="1014" priority="1033">
      <formula>"="</formula>
    </cfRule>
  </conditionalFormatting>
  <conditionalFormatting sqref="C921">
    <cfRule type="expression" dxfId="1013" priority="1031">
      <formula>"="</formula>
    </cfRule>
  </conditionalFormatting>
  <conditionalFormatting sqref="C937">
    <cfRule type="expression" dxfId="1012" priority="1029">
      <formula>"="</formula>
    </cfRule>
  </conditionalFormatting>
  <conditionalFormatting sqref="C936">
    <cfRule type="expression" dxfId="1011" priority="1028">
      <formula>"="</formula>
    </cfRule>
  </conditionalFormatting>
  <conditionalFormatting sqref="C938:C942">
    <cfRule type="expression" dxfId="1010" priority="1027">
      <formula>"="</formula>
    </cfRule>
  </conditionalFormatting>
  <conditionalFormatting sqref="C99:C103">
    <cfRule type="expression" dxfId="1009" priority="1026">
      <formula>"="</formula>
    </cfRule>
  </conditionalFormatting>
  <conditionalFormatting sqref="C99:C103">
    <cfRule type="expression" dxfId="1008" priority="1025">
      <formula>"="</formula>
    </cfRule>
  </conditionalFormatting>
  <conditionalFormatting sqref="F2:F5">
    <cfRule type="expression" dxfId="1007" priority="1022">
      <formula>"="</formula>
    </cfRule>
  </conditionalFormatting>
  <conditionalFormatting sqref="F6:F7">
    <cfRule type="expression" dxfId="1006" priority="1021">
      <formula>"="</formula>
    </cfRule>
  </conditionalFormatting>
  <conditionalFormatting sqref="F8">
    <cfRule type="expression" dxfId="1005" priority="1020">
      <formula>"="</formula>
    </cfRule>
  </conditionalFormatting>
  <conditionalFormatting sqref="F10">
    <cfRule type="expression" dxfId="1004" priority="1018">
      <formula>"="</formula>
    </cfRule>
  </conditionalFormatting>
  <conditionalFormatting sqref="F9">
    <cfRule type="expression" dxfId="1003" priority="1019">
      <formula>"="</formula>
    </cfRule>
  </conditionalFormatting>
  <conditionalFormatting sqref="F11">
    <cfRule type="expression" dxfId="1002" priority="1017">
      <formula>"="</formula>
    </cfRule>
  </conditionalFormatting>
  <conditionalFormatting sqref="F12">
    <cfRule type="expression" dxfId="1001" priority="1016">
      <formula>"="</formula>
    </cfRule>
  </conditionalFormatting>
  <conditionalFormatting sqref="F13">
    <cfRule type="expression" dxfId="1000" priority="1015">
      <formula>"="</formula>
    </cfRule>
  </conditionalFormatting>
  <conditionalFormatting sqref="F14">
    <cfRule type="expression" dxfId="999" priority="1014">
      <formula>"="</formula>
    </cfRule>
  </conditionalFormatting>
  <conditionalFormatting sqref="F15:F17">
    <cfRule type="expression" dxfId="998" priority="1013">
      <formula>"="</formula>
    </cfRule>
  </conditionalFormatting>
  <conditionalFormatting sqref="F18">
    <cfRule type="expression" dxfId="997" priority="1012">
      <formula>"="</formula>
    </cfRule>
  </conditionalFormatting>
  <conditionalFormatting sqref="F21">
    <cfRule type="expression" dxfId="996" priority="1011">
      <formula>"="</formula>
    </cfRule>
  </conditionalFormatting>
  <conditionalFormatting sqref="F22">
    <cfRule type="expression" dxfId="995" priority="1010">
      <formula>"="</formula>
    </cfRule>
  </conditionalFormatting>
  <conditionalFormatting sqref="F23">
    <cfRule type="expression" dxfId="994" priority="1009">
      <formula>"="</formula>
    </cfRule>
  </conditionalFormatting>
  <conditionalFormatting sqref="F24">
    <cfRule type="expression" dxfId="993" priority="1008">
      <formula>"="</formula>
    </cfRule>
  </conditionalFormatting>
  <conditionalFormatting sqref="F19">
    <cfRule type="expression" dxfId="992" priority="1007">
      <formula>"="</formula>
    </cfRule>
  </conditionalFormatting>
  <conditionalFormatting sqref="F20">
    <cfRule type="expression" dxfId="991" priority="1006">
      <formula>"="</formula>
    </cfRule>
  </conditionalFormatting>
  <conditionalFormatting sqref="F25:F26">
    <cfRule type="expression" dxfId="990" priority="1005">
      <formula>"="</formula>
    </cfRule>
  </conditionalFormatting>
  <conditionalFormatting sqref="F28">
    <cfRule type="expression" dxfId="989" priority="1004">
      <formula>"="</formula>
    </cfRule>
  </conditionalFormatting>
  <conditionalFormatting sqref="F29">
    <cfRule type="expression" dxfId="988" priority="1003">
      <formula>"="</formula>
    </cfRule>
  </conditionalFormatting>
  <conditionalFormatting sqref="F30">
    <cfRule type="expression" dxfId="987" priority="1002">
      <formula>"="</formula>
    </cfRule>
  </conditionalFormatting>
  <conditionalFormatting sqref="F31">
    <cfRule type="expression" dxfId="986" priority="1001">
      <formula>"="</formula>
    </cfRule>
  </conditionalFormatting>
  <conditionalFormatting sqref="F32">
    <cfRule type="expression" dxfId="985" priority="1000">
      <formula>"="</formula>
    </cfRule>
  </conditionalFormatting>
  <conditionalFormatting sqref="F33">
    <cfRule type="expression" dxfId="984" priority="999">
      <formula>"="</formula>
    </cfRule>
  </conditionalFormatting>
  <conditionalFormatting sqref="F34">
    <cfRule type="expression" dxfId="983" priority="998">
      <formula>"="</formula>
    </cfRule>
  </conditionalFormatting>
  <conditionalFormatting sqref="F27">
    <cfRule type="expression" dxfId="982" priority="997">
      <formula>"="</formula>
    </cfRule>
  </conditionalFormatting>
  <conditionalFormatting sqref="F35">
    <cfRule type="expression" dxfId="981" priority="996">
      <formula>"="</formula>
    </cfRule>
  </conditionalFormatting>
  <conditionalFormatting sqref="F38">
    <cfRule type="expression" dxfId="980" priority="995">
      <formula>"="</formula>
    </cfRule>
  </conditionalFormatting>
  <conditionalFormatting sqref="F39">
    <cfRule type="expression" dxfId="979" priority="994">
      <formula>"="</formula>
    </cfRule>
  </conditionalFormatting>
  <conditionalFormatting sqref="F40">
    <cfRule type="expression" dxfId="978" priority="993">
      <formula>"="</formula>
    </cfRule>
  </conditionalFormatting>
  <conditionalFormatting sqref="F41">
    <cfRule type="expression" dxfId="977" priority="992">
      <formula>"="</formula>
    </cfRule>
  </conditionalFormatting>
  <conditionalFormatting sqref="F42">
    <cfRule type="expression" dxfId="976" priority="991">
      <formula>"="</formula>
    </cfRule>
  </conditionalFormatting>
  <conditionalFormatting sqref="F43">
    <cfRule type="expression" dxfId="975" priority="990">
      <formula>"="</formula>
    </cfRule>
  </conditionalFormatting>
  <conditionalFormatting sqref="F44">
    <cfRule type="expression" dxfId="974" priority="989">
      <formula>"="</formula>
    </cfRule>
  </conditionalFormatting>
  <conditionalFormatting sqref="F36">
    <cfRule type="expression" dxfId="973" priority="988">
      <formula>"="</formula>
    </cfRule>
  </conditionalFormatting>
  <conditionalFormatting sqref="F37">
    <cfRule type="expression" dxfId="972" priority="987">
      <formula>"="</formula>
    </cfRule>
  </conditionalFormatting>
  <conditionalFormatting sqref="F45">
    <cfRule type="expression" dxfId="971" priority="986">
      <formula>"="</formula>
    </cfRule>
  </conditionalFormatting>
  <conditionalFormatting sqref="F51">
    <cfRule type="expression" dxfId="970" priority="983">
      <formula>"="</formula>
    </cfRule>
  </conditionalFormatting>
  <conditionalFormatting sqref="F53">
    <cfRule type="expression" dxfId="969" priority="985">
      <formula>"="</formula>
    </cfRule>
  </conditionalFormatting>
  <conditionalFormatting sqref="F52">
    <cfRule type="expression" dxfId="968" priority="984">
      <formula>"="</formula>
    </cfRule>
  </conditionalFormatting>
  <conditionalFormatting sqref="F49">
    <cfRule type="expression" dxfId="967" priority="982">
      <formula>"="</formula>
    </cfRule>
  </conditionalFormatting>
  <conditionalFormatting sqref="F50">
    <cfRule type="expression" dxfId="966" priority="981">
      <formula>"="</formula>
    </cfRule>
  </conditionalFormatting>
  <conditionalFormatting sqref="F48">
    <cfRule type="expression" dxfId="965" priority="980">
      <formula>"="</formula>
    </cfRule>
  </conditionalFormatting>
  <conditionalFormatting sqref="F46">
    <cfRule type="expression" dxfId="964" priority="979">
      <formula>"="</formula>
    </cfRule>
  </conditionalFormatting>
  <conditionalFormatting sqref="F47">
    <cfRule type="expression" dxfId="963" priority="978">
      <formula>"="</formula>
    </cfRule>
  </conditionalFormatting>
  <conditionalFormatting sqref="F54:F55">
    <cfRule type="expression" dxfId="962" priority="977">
      <formula>"="</formula>
    </cfRule>
  </conditionalFormatting>
  <conditionalFormatting sqref="F56">
    <cfRule type="expression" dxfId="961" priority="976">
      <formula>"="</formula>
    </cfRule>
  </conditionalFormatting>
  <conditionalFormatting sqref="F57">
    <cfRule type="expression" dxfId="960" priority="975">
      <formula>"="</formula>
    </cfRule>
  </conditionalFormatting>
  <conditionalFormatting sqref="F62">
    <cfRule type="expression" dxfId="959" priority="974">
      <formula>"="</formula>
    </cfRule>
  </conditionalFormatting>
  <conditionalFormatting sqref="F64">
    <cfRule type="expression" dxfId="958" priority="973">
      <formula>"="</formula>
    </cfRule>
  </conditionalFormatting>
  <conditionalFormatting sqref="F66">
    <cfRule type="expression" dxfId="957" priority="972">
      <formula>"="</formula>
    </cfRule>
  </conditionalFormatting>
  <conditionalFormatting sqref="F67">
    <cfRule type="expression" dxfId="956" priority="971">
      <formula>"="</formula>
    </cfRule>
  </conditionalFormatting>
  <conditionalFormatting sqref="F58">
    <cfRule type="expression" dxfId="955" priority="970">
      <formula>"="</formula>
    </cfRule>
  </conditionalFormatting>
  <conditionalFormatting sqref="F59">
    <cfRule type="expression" dxfId="954" priority="969">
      <formula>"="</formula>
    </cfRule>
  </conditionalFormatting>
  <conditionalFormatting sqref="F60">
    <cfRule type="expression" dxfId="953" priority="968">
      <formula>"="</formula>
    </cfRule>
  </conditionalFormatting>
  <conditionalFormatting sqref="F61">
    <cfRule type="expression" dxfId="952" priority="967">
      <formula>"="</formula>
    </cfRule>
  </conditionalFormatting>
  <conditionalFormatting sqref="F63">
    <cfRule type="expression" dxfId="951" priority="966">
      <formula>"="</formula>
    </cfRule>
  </conditionalFormatting>
  <conditionalFormatting sqref="F65">
    <cfRule type="expression" dxfId="950" priority="965">
      <formula>"="</formula>
    </cfRule>
  </conditionalFormatting>
  <conditionalFormatting sqref="F68">
    <cfRule type="expression" dxfId="949" priority="964">
      <formula>"="</formula>
    </cfRule>
  </conditionalFormatting>
  <conditionalFormatting sqref="F71">
    <cfRule type="expression" dxfId="948" priority="963">
      <formula>"="</formula>
    </cfRule>
  </conditionalFormatting>
  <conditionalFormatting sqref="F72:F77">
    <cfRule type="expression" dxfId="947" priority="962">
      <formula>"="</formula>
    </cfRule>
  </conditionalFormatting>
  <conditionalFormatting sqref="F69">
    <cfRule type="expression" dxfId="946" priority="961">
      <formula>"="</formula>
    </cfRule>
  </conditionalFormatting>
  <conditionalFormatting sqref="F70">
    <cfRule type="expression" dxfId="945" priority="960">
      <formula>"="</formula>
    </cfRule>
  </conditionalFormatting>
  <conditionalFormatting sqref="F98">
    <cfRule type="expression" dxfId="944" priority="959">
      <formula>"="</formula>
    </cfRule>
  </conditionalFormatting>
  <conditionalFormatting sqref="F81:F84 F89 F97 F86:F87">
    <cfRule type="expression" dxfId="943" priority="958">
      <formula>"="</formula>
    </cfRule>
  </conditionalFormatting>
  <conditionalFormatting sqref="F78">
    <cfRule type="expression" dxfId="942" priority="957">
      <formula>"="</formula>
    </cfRule>
  </conditionalFormatting>
  <conditionalFormatting sqref="F80">
    <cfRule type="expression" dxfId="941" priority="956">
      <formula>"="</formula>
    </cfRule>
  </conditionalFormatting>
  <conditionalFormatting sqref="F85">
    <cfRule type="expression" dxfId="940" priority="955">
      <formula>"="</formula>
    </cfRule>
  </conditionalFormatting>
  <conditionalFormatting sqref="F88">
    <cfRule type="expression" dxfId="939" priority="954">
      <formula>"="</formula>
    </cfRule>
  </conditionalFormatting>
  <conditionalFormatting sqref="F90">
    <cfRule type="expression" dxfId="938" priority="953">
      <formula>"="</formula>
    </cfRule>
  </conditionalFormatting>
  <conditionalFormatting sqref="F91">
    <cfRule type="expression" dxfId="937" priority="952">
      <formula>"="</formula>
    </cfRule>
  </conditionalFormatting>
  <conditionalFormatting sqref="F92">
    <cfRule type="expression" dxfId="936" priority="951">
      <formula>"="</formula>
    </cfRule>
  </conditionalFormatting>
  <conditionalFormatting sqref="F93">
    <cfRule type="expression" dxfId="935" priority="950">
      <formula>"="</formula>
    </cfRule>
  </conditionalFormatting>
  <conditionalFormatting sqref="F94">
    <cfRule type="expression" dxfId="934" priority="949">
      <formula>"="</formula>
    </cfRule>
  </conditionalFormatting>
  <conditionalFormatting sqref="F95">
    <cfRule type="expression" dxfId="933" priority="948">
      <formula>"="</formula>
    </cfRule>
  </conditionalFormatting>
  <conditionalFormatting sqref="F96">
    <cfRule type="expression" dxfId="932" priority="947">
      <formula>"="</formula>
    </cfRule>
  </conditionalFormatting>
  <conditionalFormatting sqref="F79">
    <cfRule type="expression" dxfId="931" priority="946">
      <formula>"="</formula>
    </cfRule>
  </conditionalFormatting>
  <conditionalFormatting sqref="F99">
    <cfRule type="expression" dxfId="930" priority="945">
      <formula>"="</formula>
    </cfRule>
  </conditionalFormatting>
  <conditionalFormatting sqref="F107">
    <cfRule type="expression" dxfId="929" priority="944">
      <formula>"="</formula>
    </cfRule>
  </conditionalFormatting>
  <conditionalFormatting sqref="F103:F104">
    <cfRule type="expression" dxfId="928" priority="943">
      <formula>"="</formula>
    </cfRule>
  </conditionalFormatting>
  <conditionalFormatting sqref="F102">
    <cfRule type="expression" dxfId="927" priority="942">
      <formula>"="</formula>
    </cfRule>
  </conditionalFormatting>
  <conditionalFormatting sqref="F105:F106">
    <cfRule type="expression" dxfId="926" priority="941">
      <formula>"="</formula>
    </cfRule>
  </conditionalFormatting>
  <conditionalFormatting sqref="F111:F112">
    <cfRule type="expression" dxfId="925" priority="940">
      <formula>"="</formula>
    </cfRule>
  </conditionalFormatting>
  <conditionalFormatting sqref="F110">
    <cfRule type="expression" dxfId="924" priority="939">
      <formula>"="</formula>
    </cfRule>
  </conditionalFormatting>
  <conditionalFormatting sqref="F113:F114">
    <cfRule type="expression" dxfId="923" priority="938">
      <formula>"="</formula>
    </cfRule>
  </conditionalFormatting>
  <conditionalFormatting sqref="F101">
    <cfRule type="expression" dxfId="922" priority="937">
      <formula>"="</formula>
    </cfRule>
  </conditionalFormatting>
  <conditionalFormatting sqref="F100">
    <cfRule type="expression" dxfId="921" priority="936">
      <formula>"="</formula>
    </cfRule>
  </conditionalFormatting>
  <conditionalFormatting sqref="F109">
    <cfRule type="expression" dxfId="920" priority="935">
      <formula>"="</formula>
    </cfRule>
  </conditionalFormatting>
  <conditionalFormatting sqref="F108">
    <cfRule type="expression" dxfId="919" priority="934">
      <formula>"="</formula>
    </cfRule>
  </conditionalFormatting>
  <conditionalFormatting sqref="F118:F122">
    <cfRule type="expression" dxfId="918" priority="933">
      <formula>"="</formula>
    </cfRule>
  </conditionalFormatting>
  <conditionalFormatting sqref="F115">
    <cfRule type="expression" dxfId="917" priority="932">
      <formula>"="</formula>
    </cfRule>
  </conditionalFormatting>
  <conditionalFormatting sqref="F117">
    <cfRule type="expression" dxfId="916" priority="931">
      <formula>"="</formula>
    </cfRule>
  </conditionalFormatting>
  <conditionalFormatting sqref="F116">
    <cfRule type="expression" dxfId="915" priority="930">
      <formula>"="</formula>
    </cfRule>
  </conditionalFormatting>
  <conditionalFormatting sqref="F123">
    <cfRule type="expression" dxfId="914" priority="929">
      <formula>"="</formula>
    </cfRule>
  </conditionalFormatting>
  <conditionalFormatting sqref="F130">
    <cfRule type="expression" dxfId="913" priority="928">
      <formula>"="</formula>
    </cfRule>
  </conditionalFormatting>
  <conditionalFormatting sqref="F124:F129">
    <cfRule type="expression" dxfId="912" priority="927">
      <formula>"="</formula>
    </cfRule>
  </conditionalFormatting>
  <conditionalFormatting sqref="F942">
    <cfRule type="expression" dxfId="911" priority="181">
      <formula>"="</formula>
    </cfRule>
  </conditionalFormatting>
  <conditionalFormatting sqref="F156 F168 F140">
    <cfRule type="expression" dxfId="910" priority="926">
      <formula>"="</formula>
    </cfRule>
  </conditionalFormatting>
  <conditionalFormatting sqref="F134:F139 F161:F162 F164:F167">
    <cfRule type="expression" dxfId="909" priority="925">
      <formula>"="</formula>
    </cfRule>
  </conditionalFormatting>
  <conditionalFormatting sqref="F131">
    <cfRule type="expression" dxfId="908" priority="924">
      <formula>"="</formula>
    </cfRule>
  </conditionalFormatting>
  <conditionalFormatting sqref="F159">
    <cfRule type="expression" dxfId="907" priority="921">
      <formula>"="</formula>
    </cfRule>
  </conditionalFormatting>
  <conditionalFormatting sqref="F141">
    <cfRule type="expression" dxfId="906" priority="923">
      <formula>"="</formula>
    </cfRule>
  </conditionalFormatting>
  <conditionalFormatting sqref="F157">
    <cfRule type="expression" dxfId="905" priority="922">
      <formula>"="</formula>
    </cfRule>
  </conditionalFormatting>
  <conditionalFormatting sqref="F163">
    <cfRule type="expression" dxfId="904" priority="920">
      <formula>"="</formula>
    </cfRule>
  </conditionalFormatting>
  <conditionalFormatting sqref="F160">
    <cfRule type="expression" dxfId="903" priority="919">
      <formula>"="</formula>
    </cfRule>
  </conditionalFormatting>
  <conditionalFormatting sqref="F144:F155">
    <cfRule type="expression" dxfId="902" priority="918">
      <formula>"="</formula>
    </cfRule>
  </conditionalFormatting>
  <conditionalFormatting sqref="F143">
    <cfRule type="expression" dxfId="901" priority="917">
      <formula>"="</formula>
    </cfRule>
  </conditionalFormatting>
  <conditionalFormatting sqref="F142">
    <cfRule type="expression" dxfId="900" priority="916">
      <formula>"="</formula>
    </cfRule>
  </conditionalFormatting>
  <conditionalFormatting sqref="F158">
    <cfRule type="expression" dxfId="899" priority="915">
      <formula>"="</formula>
    </cfRule>
  </conditionalFormatting>
  <conditionalFormatting sqref="F133">
    <cfRule type="expression" dxfId="898" priority="914">
      <formula>"="</formula>
    </cfRule>
  </conditionalFormatting>
  <conditionalFormatting sqref="F132">
    <cfRule type="expression" dxfId="897" priority="913">
      <formula>"="</formula>
    </cfRule>
  </conditionalFormatting>
  <conditionalFormatting sqref="F184">
    <cfRule type="expression" dxfId="896" priority="912">
      <formula>"="</formula>
    </cfRule>
  </conditionalFormatting>
  <conditionalFormatting sqref="F179 F183">
    <cfRule type="expression" dxfId="895" priority="911">
      <formula>"="</formula>
    </cfRule>
  </conditionalFormatting>
  <conditionalFormatting sqref="F169">
    <cfRule type="expression" dxfId="894" priority="910">
      <formula>"="</formula>
    </cfRule>
  </conditionalFormatting>
  <conditionalFormatting sqref="F185">
    <cfRule type="expression" dxfId="893" priority="909">
      <formula>"="</formula>
    </cfRule>
  </conditionalFormatting>
  <conditionalFormatting sqref="F187">
    <cfRule type="expression" dxfId="892" priority="908">
      <formula>"="</formula>
    </cfRule>
  </conditionalFormatting>
  <conditionalFormatting sqref="F186">
    <cfRule type="expression" dxfId="891" priority="907">
      <formula>"="</formula>
    </cfRule>
  </conditionalFormatting>
  <conditionalFormatting sqref="F195">
    <cfRule type="expression" dxfId="890" priority="906">
      <formula>"="</formula>
    </cfRule>
  </conditionalFormatting>
  <conditionalFormatting sqref="F196">
    <cfRule type="expression" dxfId="889" priority="905">
      <formula>"="</formula>
    </cfRule>
  </conditionalFormatting>
  <conditionalFormatting sqref="F192">
    <cfRule type="expression" dxfId="888" priority="904">
      <formula>"="</formula>
    </cfRule>
  </conditionalFormatting>
  <conditionalFormatting sqref="F190">
    <cfRule type="expression" dxfId="887" priority="903">
      <formula>"="</formula>
    </cfRule>
  </conditionalFormatting>
  <conditionalFormatting sqref="F189">
    <cfRule type="expression" dxfId="886" priority="902">
      <formula>"="</formula>
    </cfRule>
  </conditionalFormatting>
  <conditionalFormatting sqref="F193">
    <cfRule type="expression" dxfId="885" priority="901">
      <formula>"="</formula>
    </cfRule>
  </conditionalFormatting>
  <conditionalFormatting sqref="F194">
    <cfRule type="expression" dxfId="884" priority="900">
      <formula>"="</formula>
    </cfRule>
  </conditionalFormatting>
  <conditionalFormatting sqref="F191">
    <cfRule type="expression" dxfId="883" priority="899">
      <formula>"="</formula>
    </cfRule>
  </conditionalFormatting>
  <conditionalFormatting sqref="F188">
    <cfRule type="expression" dxfId="882" priority="898">
      <formula>"="</formula>
    </cfRule>
  </conditionalFormatting>
  <conditionalFormatting sqref="F181">
    <cfRule type="expression" dxfId="881" priority="897">
      <formula>"="</formula>
    </cfRule>
  </conditionalFormatting>
  <conditionalFormatting sqref="F182">
    <cfRule type="expression" dxfId="880" priority="896">
      <formula>"="</formula>
    </cfRule>
  </conditionalFormatting>
  <conditionalFormatting sqref="F178">
    <cfRule type="expression" dxfId="879" priority="895">
      <formula>"="</formula>
    </cfRule>
  </conditionalFormatting>
  <conditionalFormatting sqref="F176">
    <cfRule type="expression" dxfId="878" priority="894">
      <formula>"="</formula>
    </cfRule>
  </conditionalFormatting>
  <conditionalFormatting sqref="F177">
    <cfRule type="expression" dxfId="877" priority="893">
      <formula>"="</formula>
    </cfRule>
  </conditionalFormatting>
  <conditionalFormatting sqref="F173">
    <cfRule type="expression" dxfId="876" priority="892">
      <formula>"="</formula>
    </cfRule>
  </conditionalFormatting>
  <conditionalFormatting sqref="F175">
    <cfRule type="expression" dxfId="875" priority="891">
      <formula>"="</formula>
    </cfRule>
  </conditionalFormatting>
  <conditionalFormatting sqref="F180">
    <cfRule type="expression" dxfId="874" priority="890">
      <formula>"="</formula>
    </cfRule>
  </conditionalFormatting>
  <conditionalFormatting sqref="F174">
    <cfRule type="expression" dxfId="873" priority="889">
      <formula>"="</formula>
    </cfRule>
  </conditionalFormatting>
  <conditionalFormatting sqref="F172">
    <cfRule type="expression" dxfId="872" priority="888">
      <formula>"="</formula>
    </cfRule>
  </conditionalFormatting>
  <conditionalFormatting sqref="F170">
    <cfRule type="expression" dxfId="871" priority="886">
      <formula>"="</formula>
    </cfRule>
  </conditionalFormatting>
  <conditionalFormatting sqref="F171">
    <cfRule type="expression" dxfId="870" priority="887">
      <formula>"="</formula>
    </cfRule>
  </conditionalFormatting>
  <conditionalFormatting sqref="F209">
    <cfRule type="expression" dxfId="869" priority="885">
      <formula>"="</formula>
    </cfRule>
  </conditionalFormatting>
  <conditionalFormatting sqref="F197">
    <cfRule type="expression" dxfId="868" priority="884">
      <formula>"="</formula>
    </cfRule>
  </conditionalFormatting>
  <conditionalFormatting sqref="F206">
    <cfRule type="expression" dxfId="867" priority="883">
      <formula>"="</formula>
    </cfRule>
  </conditionalFormatting>
  <conditionalFormatting sqref="F214">
    <cfRule type="expression" dxfId="866" priority="882">
      <formula>"="</formula>
    </cfRule>
  </conditionalFormatting>
  <conditionalFormatting sqref="F222">
    <cfRule type="expression" dxfId="865" priority="881">
      <formula>"="</formula>
    </cfRule>
  </conditionalFormatting>
  <conditionalFormatting sqref="F224">
    <cfRule type="expression" dxfId="864" priority="880">
      <formula>"="</formula>
    </cfRule>
  </conditionalFormatting>
  <conditionalFormatting sqref="F200">
    <cfRule type="expression" dxfId="863" priority="879">
      <formula>"="</formula>
    </cfRule>
  </conditionalFormatting>
  <conditionalFormatting sqref="F201">
    <cfRule type="expression" dxfId="862" priority="878">
      <formula>"="</formula>
    </cfRule>
  </conditionalFormatting>
  <conditionalFormatting sqref="F202">
    <cfRule type="expression" dxfId="861" priority="877">
      <formula>"="</formula>
    </cfRule>
  </conditionalFormatting>
  <conditionalFormatting sqref="F203">
    <cfRule type="expression" dxfId="860" priority="876">
      <formula>"="</formula>
    </cfRule>
  </conditionalFormatting>
  <conditionalFormatting sqref="F204">
    <cfRule type="expression" dxfId="859" priority="875">
      <formula>"="</formula>
    </cfRule>
  </conditionalFormatting>
  <conditionalFormatting sqref="F217">
    <cfRule type="expression" dxfId="858" priority="874">
      <formula>"="</formula>
    </cfRule>
  </conditionalFormatting>
  <conditionalFormatting sqref="F220">
    <cfRule type="expression" dxfId="857" priority="873">
      <formula>"="</formula>
    </cfRule>
  </conditionalFormatting>
  <conditionalFormatting sqref="F221">
    <cfRule type="expression" dxfId="856" priority="872">
      <formula>"="</formula>
    </cfRule>
  </conditionalFormatting>
  <conditionalFormatting sqref="F210">
    <cfRule type="expression" dxfId="855" priority="871">
      <formula>"="</formula>
    </cfRule>
  </conditionalFormatting>
  <conditionalFormatting sqref="F211">
    <cfRule type="expression" dxfId="854" priority="870">
      <formula>"="</formula>
    </cfRule>
  </conditionalFormatting>
  <conditionalFormatting sqref="F219">
    <cfRule type="expression" dxfId="853" priority="869">
      <formula>"="</formula>
    </cfRule>
  </conditionalFormatting>
  <conditionalFormatting sqref="F218">
    <cfRule type="expression" dxfId="852" priority="868">
      <formula>"="</formula>
    </cfRule>
  </conditionalFormatting>
  <conditionalFormatting sqref="F227">
    <cfRule type="expression" dxfId="851" priority="867">
      <formula>"="</formula>
    </cfRule>
  </conditionalFormatting>
  <conditionalFormatting sqref="F229">
    <cfRule type="expression" dxfId="850" priority="866">
      <formula>"="</formula>
    </cfRule>
  </conditionalFormatting>
  <conditionalFormatting sqref="F226">
    <cfRule type="expression" dxfId="849" priority="865">
      <formula>"="</formula>
    </cfRule>
  </conditionalFormatting>
  <conditionalFormatting sqref="F228">
    <cfRule type="expression" dxfId="848" priority="864">
      <formula>"="</formula>
    </cfRule>
  </conditionalFormatting>
  <conditionalFormatting sqref="F230">
    <cfRule type="expression" dxfId="847" priority="863">
      <formula>"="</formula>
    </cfRule>
  </conditionalFormatting>
  <conditionalFormatting sqref="F231">
    <cfRule type="expression" dxfId="846" priority="862">
      <formula>"="</formula>
    </cfRule>
  </conditionalFormatting>
  <conditionalFormatting sqref="F212">
    <cfRule type="expression" dxfId="845" priority="861">
      <formula>"="</formula>
    </cfRule>
  </conditionalFormatting>
  <conditionalFormatting sqref="F213">
    <cfRule type="expression" dxfId="844" priority="860">
      <formula>"="</formula>
    </cfRule>
  </conditionalFormatting>
  <conditionalFormatting sqref="F205">
    <cfRule type="expression" dxfId="843" priority="859">
      <formula>"="</formula>
    </cfRule>
  </conditionalFormatting>
  <conditionalFormatting sqref="F225">
    <cfRule type="expression" dxfId="842" priority="858">
      <formula>"="</formula>
    </cfRule>
  </conditionalFormatting>
  <conditionalFormatting sqref="F208">
    <cfRule type="expression" dxfId="841" priority="855">
      <formula>"="</formula>
    </cfRule>
  </conditionalFormatting>
  <conditionalFormatting sqref="F199">
    <cfRule type="expression" dxfId="840" priority="857">
      <formula>"="</formula>
    </cfRule>
  </conditionalFormatting>
  <conditionalFormatting sqref="F198">
    <cfRule type="expression" dxfId="839" priority="856">
      <formula>"="</formula>
    </cfRule>
  </conditionalFormatting>
  <conditionalFormatting sqref="F207">
    <cfRule type="expression" dxfId="838" priority="854">
      <formula>"="</formula>
    </cfRule>
  </conditionalFormatting>
  <conditionalFormatting sqref="F216">
    <cfRule type="expression" dxfId="837" priority="853">
      <formula>"="</formula>
    </cfRule>
  </conditionalFormatting>
  <conditionalFormatting sqref="F215">
    <cfRule type="expression" dxfId="836" priority="852">
      <formula>"="</formula>
    </cfRule>
  </conditionalFormatting>
  <conditionalFormatting sqref="F223">
    <cfRule type="expression" dxfId="835" priority="851">
      <formula>"="</formula>
    </cfRule>
  </conditionalFormatting>
  <conditionalFormatting sqref="F254:F255">
    <cfRule type="expression" dxfId="834" priority="849">
      <formula>"="</formula>
    </cfRule>
  </conditionalFormatting>
  <conditionalFormatting sqref="F232">
    <cfRule type="expression" dxfId="833" priority="850">
      <formula>"="</formula>
    </cfRule>
  </conditionalFormatting>
  <conditionalFormatting sqref="F256">
    <cfRule type="expression" dxfId="832" priority="848">
      <formula>"="</formula>
    </cfRule>
  </conditionalFormatting>
  <conditionalFormatting sqref="F235">
    <cfRule type="expression" dxfId="831" priority="847">
      <formula>"="</formula>
    </cfRule>
  </conditionalFormatting>
  <conditionalFormatting sqref="F236">
    <cfRule type="expression" dxfId="830" priority="846">
      <formula>"="</formula>
    </cfRule>
  </conditionalFormatting>
  <conditionalFormatting sqref="F237">
    <cfRule type="expression" dxfId="829" priority="845">
      <formula>"="</formula>
    </cfRule>
  </conditionalFormatting>
  <conditionalFormatting sqref="F238">
    <cfRule type="expression" dxfId="828" priority="844">
      <formula>"="</formula>
    </cfRule>
  </conditionalFormatting>
  <conditionalFormatting sqref="F240">
    <cfRule type="expression" dxfId="827" priority="843">
      <formula>"="</formula>
    </cfRule>
  </conditionalFormatting>
  <conditionalFormatting sqref="F247">
    <cfRule type="expression" dxfId="826" priority="842">
      <formula>"="</formula>
    </cfRule>
  </conditionalFormatting>
  <conditionalFormatting sqref="F246">
    <cfRule type="expression" dxfId="825" priority="841">
      <formula>"="</formula>
    </cfRule>
  </conditionalFormatting>
  <conditionalFormatting sqref="F239">
    <cfRule type="expression" dxfId="824" priority="840">
      <formula>"="</formula>
    </cfRule>
  </conditionalFormatting>
  <conditionalFormatting sqref="F241">
    <cfRule type="expression" dxfId="823" priority="839">
      <formula>"="</formula>
    </cfRule>
  </conditionalFormatting>
  <conditionalFormatting sqref="F242">
    <cfRule type="expression" dxfId="822" priority="838">
      <formula>"="</formula>
    </cfRule>
  </conditionalFormatting>
  <conditionalFormatting sqref="F243">
    <cfRule type="expression" dxfId="821" priority="837">
      <formula>"="</formula>
    </cfRule>
  </conditionalFormatting>
  <conditionalFormatting sqref="F244">
    <cfRule type="expression" dxfId="820" priority="836">
      <formula>"="</formula>
    </cfRule>
  </conditionalFormatting>
  <conditionalFormatting sqref="F245">
    <cfRule type="expression" dxfId="819" priority="835">
      <formula>"="</formula>
    </cfRule>
  </conditionalFormatting>
  <conditionalFormatting sqref="F248">
    <cfRule type="expression" dxfId="818" priority="834">
      <formula>"="</formula>
    </cfRule>
  </conditionalFormatting>
  <conditionalFormatting sqref="F249">
    <cfRule type="expression" dxfId="817" priority="833">
      <formula>"="</formula>
    </cfRule>
  </conditionalFormatting>
  <conditionalFormatting sqref="F250">
    <cfRule type="expression" dxfId="816" priority="832">
      <formula>"="</formula>
    </cfRule>
  </conditionalFormatting>
  <conditionalFormatting sqref="F251">
    <cfRule type="expression" dxfId="815" priority="831">
      <formula>"="</formula>
    </cfRule>
  </conditionalFormatting>
  <conditionalFormatting sqref="F252">
    <cfRule type="expression" dxfId="814" priority="830">
      <formula>"="</formula>
    </cfRule>
  </conditionalFormatting>
  <conditionalFormatting sqref="F253">
    <cfRule type="expression" dxfId="813" priority="829">
      <formula>"="</formula>
    </cfRule>
  </conditionalFormatting>
  <conditionalFormatting sqref="F259">
    <cfRule type="expression" dxfId="812" priority="828">
      <formula>"="</formula>
    </cfRule>
  </conditionalFormatting>
  <conditionalFormatting sqref="F257">
    <cfRule type="expression" dxfId="811" priority="827">
      <formula>"="</formula>
    </cfRule>
  </conditionalFormatting>
  <conditionalFormatting sqref="F258">
    <cfRule type="expression" dxfId="810" priority="826">
      <formula>"="</formula>
    </cfRule>
  </conditionalFormatting>
  <conditionalFormatting sqref="F260">
    <cfRule type="expression" dxfId="809" priority="825">
      <formula>"="</formula>
    </cfRule>
  </conditionalFormatting>
  <conditionalFormatting sqref="F261">
    <cfRule type="expression" dxfId="808" priority="824">
      <formula>"="</formula>
    </cfRule>
  </conditionalFormatting>
  <conditionalFormatting sqref="F262">
    <cfRule type="expression" dxfId="807" priority="823">
      <formula>"="</formula>
    </cfRule>
  </conditionalFormatting>
  <conditionalFormatting sqref="F263">
    <cfRule type="expression" dxfId="806" priority="822">
      <formula>"="</formula>
    </cfRule>
  </conditionalFormatting>
  <conditionalFormatting sqref="F264">
    <cfRule type="expression" dxfId="805" priority="821">
      <formula>"="</formula>
    </cfRule>
  </conditionalFormatting>
  <conditionalFormatting sqref="F265">
    <cfRule type="expression" dxfId="804" priority="820">
      <formula>"="</formula>
    </cfRule>
  </conditionalFormatting>
  <conditionalFormatting sqref="F234">
    <cfRule type="expression" dxfId="803" priority="819">
      <formula>"="</formula>
    </cfRule>
  </conditionalFormatting>
  <conditionalFormatting sqref="F233">
    <cfRule type="expression" dxfId="802" priority="818">
      <formula>"="</formula>
    </cfRule>
  </conditionalFormatting>
  <conditionalFormatting sqref="F266:F267">
    <cfRule type="expression" dxfId="801" priority="817">
      <formula>"="</formula>
    </cfRule>
  </conditionalFormatting>
  <conditionalFormatting sqref="F268">
    <cfRule type="expression" dxfId="800" priority="816">
      <formula>"="</formula>
    </cfRule>
  </conditionalFormatting>
  <conditionalFormatting sqref="F271">
    <cfRule type="expression" dxfId="799" priority="815">
      <formula>"="</formula>
    </cfRule>
  </conditionalFormatting>
  <conditionalFormatting sqref="F269">
    <cfRule type="expression" dxfId="798" priority="814">
      <formula>"="</formula>
    </cfRule>
  </conditionalFormatting>
  <conditionalFormatting sqref="F270">
    <cfRule type="expression" dxfId="797" priority="813">
      <formula>"="</formula>
    </cfRule>
  </conditionalFormatting>
  <conditionalFormatting sqref="F272">
    <cfRule type="expression" dxfId="796" priority="812">
      <formula>"="</formula>
    </cfRule>
  </conditionalFormatting>
  <conditionalFormatting sqref="F273">
    <cfRule type="expression" dxfId="795" priority="811">
      <formula>"="</formula>
    </cfRule>
  </conditionalFormatting>
  <conditionalFormatting sqref="F274">
    <cfRule type="expression" dxfId="794" priority="810">
      <formula>"="</formula>
    </cfRule>
  </conditionalFormatting>
  <conditionalFormatting sqref="F275">
    <cfRule type="expression" dxfId="793" priority="809">
      <formula>"="</formula>
    </cfRule>
  </conditionalFormatting>
  <conditionalFormatting sqref="F276">
    <cfRule type="expression" dxfId="792" priority="808">
      <formula>"="</formula>
    </cfRule>
  </conditionalFormatting>
  <conditionalFormatting sqref="F277">
    <cfRule type="expression" dxfId="791" priority="807">
      <formula>"="</formula>
    </cfRule>
  </conditionalFormatting>
  <conditionalFormatting sqref="F278:F279">
    <cfRule type="expression" dxfId="790" priority="806">
      <formula>"="</formula>
    </cfRule>
  </conditionalFormatting>
  <conditionalFormatting sqref="F280">
    <cfRule type="expression" dxfId="789" priority="805">
      <formula>"="</formula>
    </cfRule>
  </conditionalFormatting>
  <conditionalFormatting sqref="F283">
    <cfRule type="expression" dxfId="788" priority="804">
      <formula>"="</formula>
    </cfRule>
  </conditionalFormatting>
  <conditionalFormatting sqref="F281">
    <cfRule type="expression" dxfId="787" priority="803">
      <formula>"="</formula>
    </cfRule>
  </conditionalFormatting>
  <conditionalFormatting sqref="F282">
    <cfRule type="expression" dxfId="786" priority="802">
      <formula>"="</formula>
    </cfRule>
  </conditionalFormatting>
  <conditionalFormatting sqref="F284">
    <cfRule type="expression" dxfId="785" priority="801">
      <formula>"="</formula>
    </cfRule>
  </conditionalFormatting>
  <conditionalFormatting sqref="F285">
    <cfRule type="expression" dxfId="784" priority="800">
      <formula>"="</formula>
    </cfRule>
  </conditionalFormatting>
  <conditionalFormatting sqref="F286">
    <cfRule type="expression" dxfId="783" priority="799">
      <formula>"="</formula>
    </cfRule>
  </conditionalFormatting>
  <conditionalFormatting sqref="F287">
    <cfRule type="expression" dxfId="782" priority="798">
      <formula>"="</formula>
    </cfRule>
  </conditionalFormatting>
  <conditionalFormatting sqref="F288">
    <cfRule type="expression" dxfId="781" priority="797">
      <formula>"="</formula>
    </cfRule>
  </conditionalFormatting>
  <conditionalFormatting sqref="F289">
    <cfRule type="expression" dxfId="780" priority="796">
      <formula>"="</formula>
    </cfRule>
  </conditionalFormatting>
  <conditionalFormatting sqref="F292">
    <cfRule type="expression" dxfId="779" priority="795">
      <formula>"="</formula>
    </cfRule>
  </conditionalFormatting>
  <conditionalFormatting sqref="F290">
    <cfRule type="expression" dxfId="778" priority="794">
      <formula>"="</formula>
    </cfRule>
  </conditionalFormatting>
  <conditionalFormatting sqref="F306">
    <cfRule type="expression" dxfId="777" priority="793">
      <formula>"="</formula>
    </cfRule>
  </conditionalFormatting>
  <conditionalFormatting sqref="F307">
    <cfRule type="expression" dxfId="776" priority="792">
      <formula>"="</formula>
    </cfRule>
  </conditionalFormatting>
  <conditionalFormatting sqref="F293">
    <cfRule type="expression" dxfId="775" priority="791">
      <formula>"="</formula>
    </cfRule>
  </conditionalFormatting>
  <conditionalFormatting sqref="F294">
    <cfRule type="expression" dxfId="774" priority="790">
      <formula>"="</formula>
    </cfRule>
  </conditionalFormatting>
  <conditionalFormatting sqref="F295">
    <cfRule type="expression" dxfId="773" priority="789">
      <formula>"="</formula>
    </cfRule>
  </conditionalFormatting>
  <conditionalFormatting sqref="F296">
    <cfRule type="expression" dxfId="772" priority="788">
      <formula>"="</formula>
    </cfRule>
  </conditionalFormatting>
  <conditionalFormatting sqref="F297">
    <cfRule type="expression" dxfId="771" priority="787">
      <formula>"="</formula>
    </cfRule>
  </conditionalFormatting>
  <conditionalFormatting sqref="F298">
    <cfRule type="expression" dxfId="770" priority="786">
      <formula>"="</formula>
    </cfRule>
  </conditionalFormatting>
  <conditionalFormatting sqref="F299">
    <cfRule type="expression" dxfId="769" priority="785">
      <formula>"="</formula>
    </cfRule>
  </conditionalFormatting>
  <conditionalFormatting sqref="F300">
    <cfRule type="expression" dxfId="768" priority="784">
      <formula>"="</formula>
    </cfRule>
  </conditionalFormatting>
  <conditionalFormatting sqref="F301">
    <cfRule type="expression" dxfId="767" priority="783">
      <formula>"="</formula>
    </cfRule>
  </conditionalFormatting>
  <conditionalFormatting sqref="F302">
    <cfRule type="expression" dxfId="766" priority="782">
      <formula>"="</formula>
    </cfRule>
  </conditionalFormatting>
  <conditionalFormatting sqref="F303">
    <cfRule type="expression" dxfId="765" priority="781">
      <formula>"="</formula>
    </cfRule>
  </conditionalFormatting>
  <conditionalFormatting sqref="F304">
    <cfRule type="expression" dxfId="764" priority="780">
      <formula>"="</formula>
    </cfRule>
  </conditionalFormatting>
  <conditionalFormatting sqref="F305">
    <cfRule type="expression" dxfId="763" priority="779">
      <formula>"="</formula>
    </cfRule>
  </conditionalFormatting>
  <conditionalFormatting sqref="F929">
    <cfRule type="expression" dxfId="762" priority="194">
      <formula>"="</formula>
    </cfRule>
  </conditionalFormatting>
  <conditionalFormatting sqref="F930">
    <cfRule type="expression" dxfId="761" priority="193">
      <formula>"="</formula>
    </cfRule>
  </conditionalFormatting>
  <conditionalFormatting sqref="F931">
    <cfRule type="expression" dxfId="760" priority="192">
      <formula>"="</formula>
    </cfRule>
  </conditionalFormatting>
  <conditionalFormatting sqref="F932">
    <cfRule type="expression" dxfId="759" priority="191">
      <formula>"="</formula>
    </cfRule>
  </conditionalFormatting>
  <conditionalFormatting sqref="F933">
    <cfRule type="expression" dxfId="758" priority="190">
      <formula>"="</formula>
    </cfRule>
  </conditionalFormatting>
  <conditionalFormatting sqref="F909">
    <cfRule type="expression" dxfId="757" priority="189">
      <formula>"="</formula>
    </cfRule>
  </conditionalFormatting>
  <conditionalFormatting sqref="F897">
    <cfRule type="expression" dxfId="756" priority="188">
      <formula>"="</formula>
    </cfRule>
  </conditionalFormatting>
  <conditionalFormatting sqref="F936">
    <cfRule type="expression" dxfId="755" priority="187">
      <formula>"="</formula>
    </cfRule>
  </conditionalFormatting>
  <conditionalFormatting sqref="F938">
    <cfRule type="expression" dxfId="754" priority="186">
      <formula>"="</formula>
    </cfRule>
  </conditionalFormatting>
  <conditionalFormatting sqref="F937">
    <cfRule type="expression" dxfId="753" priority="185">
      <formula>"="</formula>
    </cfRule>
  </conditionalFormatting>
  <conditionalFormatting sqref="F939">
    <cfRule type="expression" dxfId="752" priority="184">
      <formula>"="</formula>
    </cfRule>
  </conditionalFormatting>
  <conditionalFormatting sqref="F940">
    <cfRule type="expression" dxfId="751" priority="183">
      <formula>"="</formula>
    </cfRule>
  </conditionalFormatting>
  <conditionalFormatting sqref="F291">
    <cfRule type="expression" dxfId="750" priority="766">
      <formula>"="</formula>
    </cfRule>
  </conditionalFormatting>
  <conditionalFormatting sqref="F310">
    <cfRule type="expression" dxfId="749" priority="764">
      <formula>"="</formula>
    </cfRule>
  </conditionalFormatting>
  <conditionalFormatting sqref="F308">
    <cfRule type="expression" dxfId="748" priority="763">
      <formula>"="</formula>
    </cfRule>
  </conditionalFormatting>
  <conditionalFormatting sqref="F324">
    <cfRule type="expression" dxfId="747" priority="762">
      <formula>"="</formula>
    </cfRule>
  </conditionalFormatting>
  <conditionalFormatting sqref="F325">
    <cfRule type="expression" dxfId="746" priority="761">
      <formula>"="</formula>
    </cfRule>
  </conditionalFormatting>
  <conditionalFormatting sqref="F311">
    <cfRule type="expression" dxfId="745" priority="760">
      <formula>"="</formula>
    </cfRule>
  </conditionalFormatting>
  <conditionalFormatting sqref="F312">
    <cfRule type="expression" dxfId="744" priority="759">
      <formula>"="</formula>
    </cfRule>
  </conditionalFormatting>
  <conditionalFormatting sqref="F313">
    <cfRule type="expression" dxfId="743" priority="758">
      <formula>"="</formula>
    </cfRule>
  </conditionalFormatting>
  <conditionalFormatting sqref="F314">
    <cfRule type="expression" dxfId="742" priority="757">
      <formula>"="</formula>
    </cfRule>
  </conditionalFormatting>
  <conditionalFormatting sqref="F315">
    <cfRule type="expression" dxfId="741" priority="756">
      <formula>"="</formula>
    </cfRule>
  </conditionalFormatting>
  <conditionalFormatting sqref="F316">
    <cfRule type="expression" dxfId="740" priority="755">
      <formula>"="</formula>
    </cfRule>
  </conditionalFormatting>
  <conditionalFormatting sqref="F317">
    <cfRule type="expression" dxfId="739" priority="754">
      <formula>"="</formula>
    </cfRule>
  </conditionalFormatting>
  <conditionalFormatting sqref="F318">
    <cfRule type="expression" dxfId="738" priority="753">
      <formula>"="</formula>
    </cfRule>
  </conditionalFormatting>
  <conditionalFormatting sqref="F319">
    <cfRule type="expression" dxfId="737" priority="752">
      <formula>"="</formula>
    </cfRule>
  </conditionalFormatting>
  <conditionalFormatting sqref="F320">
    <cfRule type="expression" dxfId="736" priority="751">
      <formula>"="</formula>
    </cfRule>
  </conditionalFormatting>
  <conditionalFormatting sqref="F321">
    <cfRule type="expression" dxfId="735" priority="750">
      <formula>"="</formula>
    </cfRule>
  </conditionalFormatting>
  <conditionalFormatting sqref="F322">
    <cfRule type="expression" dxfId="734" priority="749">
      <formula>"="</formula>
    </cfRule>
  </conditionalFormatting>
  <conditionalFormatting sqref="F323">
    <cfRule type="expression" dxfId="733" priority="748">
      <formula>"="</formula>
    </cfRule>
  </conditionalFormatting>
  <conditionalFormatting sqref="F309">
    <cfRule type="expression" dxfId="732" priority="747">
      <formula>"="</formula>
    </cfRule>
  </conditionalFormatting>
  <conditionalFormatting sqref="F328">
    <cfRule type="expression" dxfId="731" priority="746">
      <formula>"="</formula>
    </cfRule>
  </conditionalFormatting>
  <conditionalFormatting sqref="F326">
    <cfRule type="expression" dxfId="730" priority="745">
      <formula>"="</formula>
    </cfRule>
  </conditionalFormatting>
  <conditionalFormatting sqref="F342">
    <cfRule type="expression" dxfId="729" priority="744">
      <formula>"="</formula>
    </cfRule>
  </conditionalFormatting>
  <conditionalFormatting sqref="F343">
    <cfRule type="expression" dxfId="728" priority="743">
      <formula>"="</formula>
    </cfRule>
  </conditionalFormatting>
  <conditionalFormatting sqref="F329">
    <cfRule type="expression" dxfId="727" priority="742">
      <formula>"="</formula>
    </cfRule>
  </conditionalFormatting>
  <conditionalFormatting sqref="F330">
    <cfRule type="expression" dxfId="726" priority="741">
      <formula>"="</formula>
    </cfRule>
  </conditionalFormatting>
  <conditionalFormatting sqref="F331">
    <cfRule type="expression" dxfId="725" priority="740">
      <formula>"="</formula>
    </cfRule>
  </conditionalFormatting>
  <conditionalFormatting sqref="F332">
    <cfRule type="expression" dxfId="724" priority="739">
      <formula>"="</formula>
    </cfRule>
  </conditionalFormatting>
  <conditionalFormatting sqref="F333">
    <cfRule type="expression" dxfId="723" priority="738">
      <formula>"="</formula>
    </cfRule>
  </conditionalFormatting>
  <conditionalFormatting sqref="F334">
    <cfRule type="expression" dxfId="722" priority="737">
      <formula>"="</formula>
    </cfRule>
  </conditionalFormatting>
  <conditionalFormatting sqref="F335">
    <cfRule type="expression" dxfId="721" priority="736">
      <formula>"="</formula>
    </cfRule>
  </conditionalFormatting>
  <conditionalFormatting sqref="F336">
    <cfRule type="expression" dxfId="720" priority="735">
      <formula>"="</formula>
    </cfRule>
  </conditionalFormatting>
  <conditionalFormatting sqref="F337">
    <cfRule type="expression" dxfId="719" priority="734">
      <formula>"="</formula>
    </cfRule>
  </conditionalFormatting>
  <conditionalFormatting sqref="F338">
    <cfRule type="expression" dxfId="718" priority="733">
      <formula>"="</formula>
    </cfRule>
  </conditionalFormatting>
  <conditionalFormatting sqref="F339">
    <cfRule type="expression" dxfId="717" priority="732">
      <formula>"="</formula>
    </cfRule>
  </conditionalFormatting>
  <conditionalFormatting sqref="F340">
    <cfRule type="expression" dxfId="716" priority="731">
      <formula>"="</formula>
    </cfRule>
  </conditionalFormatting>
  <conditionalFormatting sqref="F341">
    <cfRule type="expression" dxfId="715" priority="730">
      <formula>"="</formula>
    </cfRule>
  </conditionalFormatting>
  <conditionalFormatting sqref="F327">
    <cfRule type="expression" dxfId="714" priority="729">
      <formula>"="</formula>
    </cfRule>
  </conditionalFormatting>
  <conditionalFormatting sqref="F346">
    <cfRule type="expression" dxfId="713" priority="728">
      <formula>"="</formula>
    </cfRule>
  </conditionalFormatting>
  <conditionalFormatting sqref="F344">
    <cfRule type="expression" dxfId="712" priority="727">
      <formula>"="</formula>
    </cfRule>
  </conditionalFormatting>
  <conditionalFormatting sqref="F360">
    <cfRule type="expression" dxfId="711" priority="726">
      <formula>"="</formula>
    </cfRule>
  </conditionalFormatting>
  <conditionalFormatting sqref="F361">
    <cfRule type="expression" dxfId="710" priority="725">
      <formula>"="</formula>
    </cfRule>
  </conditionalFormatting>
  <conditionalFormatting sqref="F347">
    <cfRule type="expression" dxfId="709" priority="724">
      <formula>"="</formula>
    </cfRule>
  </conditionalFormatting>
  <conditionalFormatting sqref="F348">
    <cfRule type="expression" dxfId="708" priority="723">
      <formula>"="</formula>
    </cfRule>
  </conditionalFormatting>
  <conditionalFormatting sqref="F349">
    <cfRule type="expression" dxfId="707" priority="722">
      <formula>"="</formula>
    </cfRule>
  </conditionalFormatting>
  <conditionalFormatting sqref="F350">
    <cfRule type="expression" dxfId="706" priority="721">
      <formula>"="</formula>
    </cfRule>
  </conditionalFormatting>
  <conditionalFormatting sqref="F351">
    <cfRule type="expression" dxfId="705" priority="720">
      <formula>"="</formula>
    </cfRule>
  </conditionalFormatting>
  <conditionalFormatting sqref="F352">
    <cfRule type="expression" dxfId="704" priority="719">
      <formula>"="</formula>
    </cfRule>
  </conditionalFormatting>
  <conditionalFormatting sqref="F353">
    <cfRule type="expression" dxfId="703" priority="718">
      <formula>"="</formula>
    </cfRule>
  </conditionalFormatting>
  <conditionalFormatting sqref="F354">
    <cfRule type="expression" dxfId="702" priority="717">
      <formula>"="</formula>
    </cfRule>
  </conditionalFormatting>
  <conditionalFormatting sqref="F355">
    <cfRule type="expression" dxfId="701" priority="716">
      <formula>"="</formula>
    </cfRule>
  </conditionalFormatting>
  <conditionalFormatting sqref="F356">
    <cfRule type="expression" dxfId="700" priority="715">
      <formula>"="</formula>
    </cfRule>
  </conditionalFormatting>
  <conditionalFormatting sqref="F357">
    <cfRule type="expression" dxfId="699" priority="714">
      <formula>"="</formula>
    </cfRule>
  </conditionalFormatting>
  <conditionalFormatting sqref="F358">
    <cfRule type="expression" dxfId="698" priority="713">
      <formula>"="</formula>
    </cfRule>
  </conditionalFormatting>
  <conditionalFormatting sqref="F359">
    <cfRule type="expression" dxfId="697" priority="712">
      <formula>"="</formula>
    </cfRule>
  </conditionalFormatting>
  <conditionalFormatting sqref="F345">
    <cfRule type="expression" dxfId="696" priority="711">
      <formula>"="</formula>
    </cfRule>
  </conditionalFormatting>
  <conditionalFormatting sqref="F362">
    <cfRule type="expression" dxfId="695" priority="710">
      <formula>"="</formula>
    </cfRule>
  </conditionalFormatting>
  <conditionalFormatting sqref="F364">
    <cfRule type="expression" dxfId="694" priority="709">
      <formula>"="</formula>
    </cfRule>
  </conditionalFormatting>
  <conditionalFormatting sqref="F365">
    <cfRule type="expression" dxfId="693" priority="708">
      <formula>"="</formula>
    </cfRule>
  </conditionalFormatting>
  <conditionalFormatting sqref="F366">
    <cfRule type="expression" dxfId="692" priority="707">
      <formula>"="</formula>
    </cfRule>
  </conditionalFormatting>
  <conditionalFormatting sqref="F367">
    <cfRule type="expression" dxfId="691" priority="706">
      <formula>"="</formula>
    </cfRule>
  </conditionalFormatting>
  <conditionalFormatting sqref="F368">
    <cfRule type="expression" dxfId="690" priority="705">
      <formula>"="</formula>
    </cfRule>
  </conditionalFormatting>
  <conditionalFormatting sqref="F369">
    <cfRule type="expression" dxfId="689" priority="704">
      <formula>"="</formula>
    </cfRule>
  </conditionalFormatting>
  <conditionalFormatting sqref="F370">
    <cfRule type="expression" dxfId="688" priority="703">
      <formula>"="</formula>
    </cfRule>
  </conditionalFormatting>
  <conditionalFormatting sqref="F371">
    <cfRule type="expression" dxfId="687" priority="702">
      <formula>"="</formula>
    </cfRule>
  </conditionalFormatting>
  <conditionalFormatting sqref="F372">
    <cfRule type="expression" dxfId="686" priority="701">
      <formula>"="</formula>
    </cfRule>
  </conditionalFormatting>
  <conditionalFormatting sqref="F373">
    <cfRule type="expression" dxfId="685" priority="700">
      <formula>"="</formula>
    </cfRule>
  </conditionalFormatting>
  <conditionalFormatting sqref="F374">
    <cfRule type="expression" dxfId="684" priority="699">
      <formula>"="</formula>
    </cfRule>
  </conditionalFormatting>
  <conditionalFormatting sqref="F363">
    <cfRule type="expression" dxfId="683" priority="698">
      <formula>"="</formula>
    </cfRule>
  </conditionalFormatting>
  <conditionalFormatting sqref="F375">
    <cfRule type="expression" dxfId="682" priority="697">
      <formula>"="</formula>
    </cfRule>
  </conditionalFormatting>
  <conditionalFormatting sqref="F377">
    <cfRule type="expression" dxfId="681" priority="696">
      <formula>"="</formula>
    </cfRule>
  </conditionalFormatting>
  <conditionalFormatting sqref="F378">
    <cfRule type="expression" dxfId="680" priority="695">
      <formula>"="</formula>
    </cfRule>
  </conditionalFormatting>
  <conditionalFormatting sqref="F379">
    <cfRule type="expression" dxfId="679" priority="694">
      <formula>"="</formula>
    </cfRule>
  </conditionalFormatting>
  <conditionalFormatting sqref="F380">
    <cfRule type="expression" dxfId="678" priority="693">
      <formula>"="</formula>
    </cfRule>
  </conditionalFormatting>
  <conditionalFormatting sqref="F381">
    <cfRule type="expression" dxfId="677" priority="692">
      <formula>"="</formula>
    </cfRule>
  </conditionalFormatting>
  <conditionalFormatting sqref="F382">
    <cfRule type="expression" dxfId="676" priority="691">
      <formula>"="</formula>
    </cfRule>
  </conditionalFormatting>
  <conditionalFormatting sqref="F383">
    <cfRule type="expression" dxfId="675" priority="690">
      <formula>"="</formula>
    </cfRule>
  </conditionalFormatting>
  <conditionalFormatting sqref="F384">
    <cfRule type="expression" dxfId="674" priority="689">
      <formula>"="</formula>
    </cfRule>
  </conditionalFormatting>
  <conditionalFormatting sqref="F385">
    <cfRule type="expression" dxfId="673" priority="688">
      <formula>"="</formula>
    </cfRule>
  </conditionalFormatting>
  <conditionalFormatting sqref="F386">
    <cfRule type="expression" dxfId="672" priority="687">
      <formula>"="</formula>
    </cfRule>
  </conditionalFormatting>
  <conditionalFormatting sqref="F387">
    <cfRule type="expression" dxfId="671" priority="686">
      <formula>"="</formula>
    </cfRule>
  </conditionalFormatting>
  <conditionalFormatting sqref="F376">
    <cfRule type="expression" dxfId="670" priority="685">
      <formula>"="</formula>
    </cfRule>
  </conditionalFormatting>
  <conditionalFormatting sqref="F388">
    <cfRule type="expression" dxfId="669" priority="684">
      <formula>"="</formula>
    </cfRule>
  </conditionalFormatting>
  <conditionalFormatting sqref="F390">
    <cfRule type="expression" dxfId="668" priority="683">
      <formula>"="</formula>
    </cfRule>
  </conditionalFormatting>
  <conditionalFormatting sqref="F391">
    <cfRule type="expression" dxfId="667" priority="682">
      <formula>"="</formula>
    </cfRule>
  </conditionalFormatting>
  <conditionalFormatting sqref="F392">
    <cfRule type="expression" dxfId="666" priority="681">
      <formula>"="</formula>
    </cfRule>
  </conditionalFormatting>
  <conditionalFormatting sqref="F393">
    <cfRule type="expression" dxfId="665" priority="680">
      <formula>"="</formula>
    </cfRule>
  </conditionalFormatting>
  <conditionalFormatting sqref="F394">
    <cfRule type="expression" dxfId="664" priority="679">
      <formula>"="</formula>
    </cfRule>
  </conditionalFormatting>
  <conditionalFormatting sqref="F395">
    <cfRule type="expression" dxfId="663" priority="678">
      <formula>"="</formula>
    </cfRule>
  </conditionalFormatting>
  <conditionalFormatting sqref="F396">
    <cfRule type="expression" dxfId="662" priority="677">
      <formula>"="</formula>
    </cfRule>
  </conditionalFormatting>
  <conditionalFormatting sqref="F397">
    <cfRule type="expression" dxfId="661" priority="676">
      <formula>"="</formula>
    </cfRule>
  </conditionalFormatting>
  <conditionalFormatting sqref="F398">
    <cfRule type="expression" dxfId="660" priority="675">
      <formula>"="</formula>
    </cfRule>
  </conditionalFormatting>
  <conditionalFormatting sqref="F399">
    <cfRule type="expression" dxfId="659" priority="674">
      <formula>"="</formula>
    </cfRule>
  </conditionalFormatting>
  <conditionalFormatting sqref="F400">
    <cfRule type="expression" dxfId="658" priority="673">
      <formula>"="</formula>
    </cfRule>
  </conditionalFormatting>
  <conditionalFormatting sqref="F389">
    <cfRule type="expression" dxfId="657" priority="672">
      <formula>"="</formula>
    </cfRule>
  </conditionalFormatting>
  <conditionalFormatting sqref="F410:F411">
    <cfRule type="expression" dxfId="656" priority="671">
      <formula>"="</formula>
    </cfRule>
  </conditionalFormatting>
  <conditionalFormatting sqref="F412">
    <cfRule type="expression" dxfId="655" priority="670">
      <formula>"="</formula>
    </cfRule>
  </conditionalFormatting>
  <conditionalFormatting sqref="F415">
    <cfRule type="expression" dxfId="654" priority="669">
      <formula>"="</formula>
    </cfRule>
  </conditionalFormatting>
  <conditionalFormatting sqref="F413">
    <cfRule type="expression" dxfId="653" priority="668">
      <formula>"="</formula>
    </cfRule>
  </conditionalFormatting>
  <conditionalFormatting sqref="F414">
    <cfRule type="expression" dxfId="652" priority="667">
      <formula>"="</formula>
    </cfRule>
  </conditionalFormatting>
  <conditionalFormatting sqref="F416">
    <cfRule type="expression" dxfId="651" priority="666">
      <formula>"="</formula>
    </cfRule>
  </conditionalFormatting>
  <conditionalFormatting sqref="F417">
    <cfRule type="expression" dxfId="650" priority="665">
      <formula>"="</formula>
    </cfRule>
  </conditionalFormatting>
  <conditionalFormatting sqref="F418">
    <cfRule type="expression" dxfId="649" priority="664">
      <formula>"="</formula>
    </cfRule>
  </conditionalFormatting>
  <conditionalFormatting sqref="F419">
    <cfRule type="expression" dxfId="648" priority="663">
      <formula>"="</formula>
    </cfRule>
  </conditionalFormatting>
  <conditionalFormatting sqref="F420">
    <cfRule type="expression" dxfId="647" priority="662">
      <formula>"="</formula>
    </cfRule>
  </conditionalFormatting>
  <conditionalFormatting sqref="F421">
    <cfRule type="expression" dxfId="646" priority="661">
      <formula>"="</formula>
    </cfRule>
  </conditionalFormatting>
  <conditionalFormatting sqref="H420:H421">
    <cfRule type="expression" dxfId="645" priority="660">
      <formula>"="</formula>
    </cfRule>
  </conditionalFormatting>
  <conditionalFormatting sqref="F401:F402">
    <cfRule type="expression" dxfId="644" priority="659">
      <formula>"="</formula>
    </cfRule>
  </conditionalFormatting>
  <conditionalFormatting sqref="F403">
    <cfRule type="expression" dxfId="643" priority="658">
      <formula>"="</formula>
    </cfRule>
  </conditionalFormatting>
  <conditionalFormatting sqref="F404">
    <cfRule type="expression" dxfId="642" priority="657">
      <formula>"="</formula>
    </cfRule>
  </conditionalFormatting>
  <conditionalFormatting sqref="F405:F407">
    <cfRule type="expression" dxfId="641" priority="656">
      <formula>"="</formula>
    </cfRule>
  </conditionalFormatting>
  <conditionalFormatting sqref="F408">
    <cfRule type="expression" dxfId="640" priority="655">
      <formula>"="</formula>
    </cfRule>
  </conditionalFormatting>
  <conditionalFormatting sqref="F409">
    <cfRule type="expression" dxfId="639" priority="654">
      <formula>"="</formula>
    </cfRule>
  </conditionalFormatting>
  <conditionalFormatting sqref="F441">
    <cfRule type="expression" dxfId="638" priority="653">
      <formula>"="</formula>
    </cfRule>
  </conditionalFormatting>
  <conditionalFormatting sqref="F443">
    <cfRule type="expression" dxfId="637" priority="652">
      <formula>"="</formula>
    </cfRule>
  </conditionalFormatting>
  <conditionalFormatting sqref="F422">
    <cfRule type="expression" dxfId="636" priority="650">
      <formula>"="</formula>
    </cfRule>
  </conditionalFormatting>
  <conditionalFormatting sqref="F423">
    <cfRule type="expression" dxfId="635" priority="649">
      <formula>"="</formula>
    </cfRule>
  </conditionalFormatting>
  <conditionalFormatting sqref="F442">
    <cfRule type="expression" dxfId="634" priority="648">
      <formula>"="</formula>
    </cfRule>
  </conditionalFormatting>
  <conditionalFormatting sqref="F425">
    <cfRule type="expression" dxfId="633" priority="647">
      <formula>"="</formula>
    </cfRule>
  </conditionalFormatting>
  <conditionalFormatting sqref="F427">
    <cfRule type="expression" dxfId="632" priority="646">
      <formula>"="</formula>
    </cfRule>
  </conditionalFormatting>
  <conditionalFormatting sqref="F429">
    <cfRule type="expression" dxfId="631" priority="645">
      <formula>"="</formula>
    </cfRule>
  </conditionalFormatting>
  <conditionalFormatting sqref="F431">
    <cfRule type="expression" dxfId="630" priority="644">
      <formula>"="</formula>
    </cfRule>
  </conditionalFormatting>
  <conditionalFormatting sqref="F433">
    <cfRule type="expression" dxfId="629" priority="643">
      <formula>"="</formula>
    </cfRule>
  </conditionalFormatting>
  <conditionalFormatting sqref="F435">
    <cfRule type="expression" dxfId="628" priority="642">
      <formula>"="</formula>
    </cfRule>
  </conditionalFormatting>
  <conditionalFormatting sqref="F439">
    <cfRule type="expression" dxfId="627" priority="641">
      <formula>"="</formula>
    </cfRule>
  </conditionalFormatting>
  <conditionalFormatting sqref="F440">
    <cfRule type="expression" dxfId="626" priority="640">
      <formula>"="</formula>
    </cfRule>
  </conditionalFormatting>
  <conditionalFormatting sqref="F426">
    <cfRule type="expression" dxfId="625" priority="639">
      <formula>"="</formula>
    </cfRule>
  </conditionalFormatting>
  <conditionalFormatting sqref="F428">
    <cfRule type="expression" dxfId="624" priority="638">
      <formula>"="</formula>
    </cfRule>
  </conditionalFormatting>
  <conditionalFormatting sqref="F430">
    <cfRule type="expression" dxfId="623" priority="637">
      <formula>"="</formula>
    </cfRule>
  </conditionalFormatting>
  <conditionalFormatting sqref="F432">
    <cfRule type="expression" dxfId="622" priority="636">
      <formula>"="</formula>
    </cfRule>
  </conditionalFormatting>
  <conditionalFormatting sqref="F434">
    <cfRule type="expression" dxfId="621" priority="635">
      <formula>"="</formula>
    </cfRule>
  </conditionalFormatting>
  <conditionalFormatting sqref="F436">
    <cfRule type="expression" dxfId="620" priority="634">
      <formula>"="</formula>
    </cfRule>
  </conditionalFormatting>
  <conditionalFormatting sqref="F437">
    <cfRule type="expression" dxfId="619" priority="633">
      <formula>"="</formula>
    </cfRule>
  </conditionalFormatting>
  <conditionalFormatting sqref="F438">
    <cfRule type="expression" dxfId="618" priority="632">
      <formula>"="</formula>
    </cfRule>
  </conditionalFormatting>
  <conditionalFormatting sqref="F446">
    <cfRule type="expression" dxfId="617" priority="631">
      <formula>"="</formula>
    </cfRule>
  </conditionalFormatting>
  <conditionalFormatting sqref="F447">
    <cfRule type="expression" dxfId="616" priority="630">
      <formula>"="</formula>
    </cfRule>
  </conditionalFormatting>
  <conditionalFormatting sqref="F448">
    <cfRule type="expression" dxfId="615" priority="629">
      <formula>"="</formula>
    </cfRule>
  </conditionalFormatting>
  <conditionalFormatting sqref="F424">
    <cfRule type="expression" dxfId="614" priority="628">
      <formula>"="</formula>
    </cfRule>
  </conditionalFormatting>
  <conditionalFormatting sqref="F445">
    <cfRule type="expression" dxfId="613" priority="627">
      <formula>"="</formula>
    </cfRule>
  </conditionalFormatting>
  <conditionalFormatting sqref="F449:F450">
    <cfRule type="expression" dxfId="612" priority="626">
      <formula>"="</formula>
    </cfRule>
  </conditionalFormatting>
  <conditionalFormatting sqref="F451">
    <cfRule type="expression" dxfId="611" priority="625">
      <formula>"="</formula>
    </cfRule>
  </conditionalFormatting>
  <conditionalFormatting sqref="F452">
    <cfRule type="expression" dxfId="610" priority="624">
      <formula>"="</formula>
    </cfRule>
  </conditionalFormatting>
  <conditionalFormatting sqref="F453">
    <cfRule type="expression" dxfId="609" priority="623">
      <formula>"="</formula>
    </cfRule>
  </conditionalFormatting>
  <conditionalFormatting sqref="F454">
    <cfRule type="expression" dxfId="608" priority="622">
      <formula>"="</formula>
    </cfRule>
  </conditionalFormatting>
  <conditionalFormatting sqref="F455">
    <cfRule type="expression" dxfId="607" priority="621">
      <formula>"="</formula>
    </cfRule>
  </conditionalFormatting>
  <conditionalFormatting sqref="F456">
    <cfRule type="expression" dxfId="606" priority="620">
      <formula>"="</formula>
    </cfRule>
  </conditionalFormatting>
  <conditionalFormatting sqref="F457">
    <cfRule type="expression" dxfId="605" priority="619">
      <formula>"="</formula>
    </cfRule>
  </conditionalFormatting>
  <conditionalFormatting sqref="F458">
    <cfRule type="expression" dxfId="604" priority="618">
      <formula>"="</formula>
    </cfRule>
  </conditionalFormatting>
  <conditionalFormatting sqref="F459">
    <cfRule type="expression" dxfId="603" priority="617">
      <formula>"="</formula>
    </cfRule>
  </conditionalFormatting>
  <conditionalFormatting sqref="F460">
    <cfRule type="expression" dxfId="602" priority="616">
      <formula>"="</formula>
    </cfRule>
  </conditionalFormatting>
  <conditionalFormatting sqref="F461">
    <cfRule type="expression" dxfId="601" priority="615">
      <formula>"="</formula>
    </cfRule>
  </conditionalFormatting>
  <conditionalFormatting sqref="F465">
    <cfRule type="expression" dxfId="600" priority="614">
      <formula>"="</formula>
    </cfRule>
  </conditionalFormatting>
  <conditionalFormatting sqref="F464">
    <cfRule type="expression" dxfId="599" priority="613">
      <formula>"="</formula>
    </cfRule>
  </conditionalFormatting>
  <conditionalFormatting sqref="F467">
    <cfRule type="expression" dxfId="598" priority="612">
      <formula>"="</formula>
    </cfRule>
  </conditionalFormatting>
  <conditionalFormatting sqref="F466">
    <cfRule type="expression" dxfId="597" priority="611">
      <formula>"="</formula>
    </cfRule>
  </conditionalFormatting>
  <conditionalFormatting sqref="F463">
    <cfRule type="expression" dxfId="596" priority="610">
      <formula>"="</formula>
    </cfRule>
  </conditionalFormatting>
  <conditionalFormatting sqref="F462">
    <cfRule type="expression" dxfId="595" priority="609">
      <formula>"="</formula>
    </cfRule>
  </conditionalFormatting>
  <conditionalFormatting sqref="F468">
    <cfRule type="expression" dxfId="594" priority="608">
      <formula>"="</formula>
    </cfRule>
  </conditionalFormatting>
  <conditionalFormatting sqref="F469">
    <cfRule type="expression" dxfId="593" priority="607">
      <formula>"="</formula>
    </cfRule>
  </conditionalFormatting>
  <conditionalFormatting sqref="F470">
    <cfRule type="expression" dxfId="592" priority="606">
      <formula>"="</formula>
    </cfRule>
  </conditionalFormatting>
  <conditionalFormatting sqref="F471">
    <cfRule type="expression" dxfId="591" priority="605">
      <formula>"="</formula>
    </cfRule>
  </conditionalFormatting>
  <conditionalFormatting sqref="F472">
    <cfRule type="expression" dxfId="590" priority="604">
      <formula>"="</formula>
    </cfRule>
  </conditionalFormatting>
  <conditionalFormatting sqref="F473">
    <cfRule type="expression" dxfId="589" priority="603">
      <formula>"="</formula>
    </cfRule>
  </conditionalFormatting>
  <conditionalFormatting sqref="F474">
    <cfRule type="expression" dxfId="588" priority="602">
      <formula>"="</formula>
    </cfRule>
  </conditionalFormatting>
  <conditionalFormatting sqref="F475">
    <cfRule type="expression" dxfId="587" priority="601">
      <formula>"="</formula>
    </cfRule>
  </conditionalFormatting>
  <conditionalFormatting sqref="F476">
    <cfRule type="expression" dxfId="586" priority="600">
      <formula>"="</formula>
    </cfRule>
  </conditionalFormatting>
  <conditionalFormatting sqref="F477">
    <cfRule type="expression" dxfId="585" priority="599">
      <formula>"="</formula>
    </cfRule>
  </conditionalFormatting>
  <conditionalFormatting sqref="F480">
    <cfRule type="expression" dxfId="584" priority="598">
      <formula>"="</formula>
    </cfRule>
  </conditionalFormatting>
  <conditionalFormatting sqref="F481">
    <cfRule type="expression" dxfId="583" priority="597">
      <formula>"="</formula>
    </cfRule>
  </conditionalFormatting>
  <conditionalFormatting sqref="F484">
    <cfRule type="expression" dxfId="582" priority="596">
      <formula>"="</formula>
    </cfRule>
  </conditionalFormatting>
  <conditionalFormatting sqref="F486">
    <cfRule type="expression" dxfId="581" priority="595">
      <formula>"="</formula>
    </cfRule>
  </conditionalFormatting>
  <conditionalFormatting sqref="F487">
    <cfRule type="expression" dxfId="580" priority="594">
      <formula>"="</formula>
    </cfRule>
  </conditionalFormatting>
  <conditionalFormatting sqref="F491">
    <cfRule type="expression" dxfId="579" priority="593">
      <formula>"="</formula>
    </cfRule>
  </conditionalFormatting>
  <conditionalFormatting sqref="F492">
    <cfRule type="expression" dxfId="578" priority="592">
      <formula>"="</formula>
    </cfRule>
  </conditionalFormatting>
  <conditionalFormatting sqref="F493">
    <cfRule type="expression" dxfId="577" priority="591">
      <formula>"="</formula>
    </cfRule>
  </conditionalFormatting>
  <conditionalFormatting sqref="F494">
    <cfRule type="expression" dxfId="576" priority="590">
      <formula>"="</formula>
    </cfRule>
  </conditionalFormatting>
  <conditionalFormatting sqref="F495">
    <cfRule type="expression" dxfId="575" priority="589">
      <formula>"="</formula>
    </cfRule>
  </conditionalFormatting>
  <conditionalFormatting sqref="F496">
    <cfRule type="expression" dxfId="574" priority="588">
      <formula>"="</formula>
    </cfRule>
  </conditionalFormatting>
  <conditionalFormatting sqref="F497">
    <cfRule type="expression" dxfId="573" priority="587">
      <formula>"="</formula>
    </cfRule>
  </conditionalFormatting>
  <conditionalFormatting sqref="F498">
    <cfRule type="expression" dxfId="572" priority="586">
      <formula>"="</formula>
    </cfRule>
  </conditionalFormatting>
  <conditionalFormatting sqref="F499">
    <cfRule type="expression" dxfId="571" priority="585">
      <formula>"="</formula>
    </cfRule>
  </conditionalFormatting>
  <conditionalFormatting sqref="F500">
    <cfRule type="expression" dxfId="570" priority="584">
      <formula>"="</formula>
    </cfRule>
  </conditionalFormatting>
  <conditionalFormatting sqref="F501">
    <cfRule type="expression" dxfId="569" priority="583">
      <formula>"="</formula>
    </cfRule>
  </conditionalFormatting>
  <conditionalFormatting sqref="F502">
    <cfRule type="expression" dxfId="568" priority="582">
      <formula>"="</formula>
    </cfRule>
  </conditionalFormatting>
  <conditionalFormatting sqref="F503">
    <cfRule type="expression" dxfId="567" priority="581">
      <formula>"="</formula>
    </cfRule>
  </conditionalFormatting>
  <conditionalFormatting sqref="F478">
    <cfRule type="expression" dxfId="566" priority="580">
      <formula>"="</formula>
    </cfRule>
  </conditionalFormatting>
  <conditionalFormatting sqref="F479">
    <cfRule type="expression" dxfId="565" priority="579">
      <formula>"="</formula>
    </cfRule>
  </conditionalFormatting>
  <conditionalFormatting sqref="F482">
    <cfRule type="expression" dxfId="564" priority="578">
      <formula>"="</formula>
    </cfRule>
  </conditionalFormatting>
  <conditionalFormatting sqref="F483">
    <cfRule type="expression" dxfId="563" priority="577">
      <formula>"="</formula>
    </cfRule>
  </conditionalFormatting>
  <conditionalFormatting sqref="F488">
    <cfRule type="expression" dxfId="562" priority="576">
      <formula>"="</formula>
    </cfRule>
  </conditionalFormatting>
  <conditionalFormatting sqref="F489">
    <cfRule type="expression" dxfId="561" priority="575">
      <formula>"="</formula>
    </cfRule>
  </conditionalFormatting>
  <conditionalFormatting sqref="F490">
    <cfRule type="expression" dxfId="560" priority="574">
      <formula>"="</formula>
    </cfRule>
  </conditionalFormatting>
  <conditionalFormatting sqref="F485">
    <cfRule type="expression" dxfId="559" priority="573">
      <formula>"="</formula>
    </cfRule>
  </conditionalFormatting>
  <conditionalFormatting sqref="F504">
    <cfRule type="expression" dxfId="558" priority="572">
      <formula>"="</formula>
    </cfRule>
  </conditionalFormatting>
  <conditionalFormatting sqref="F505">
    <cfRule type="expression" dxfId="557" priority="571">
      <formula>"="</formula>
    </cfRule>
  </conditionalFormatting>
  <conditionalFormatting sqref="F506">
    <cfRule type="expression" dxfId="556" priority="570">
      <formula>"="</formula>
    </cfRule>
  </conditionalFormatting>
  <conditionalFormatting sqref="F507">
    <cfRule type="expression" dxfId="555" priority="569">
      <formula>"="</formula>
    </cfRule>
  </conditionalFormatting>
  <conditionalFormatting sqref="F508">
    <cfRule type="expression" dxfId="554" priority="568">
      <formula>"="</formula>
    </cfRule>
  </conditionalFormatting>
  <conditionalFormatting sqref="F509">
    <cfRule type="expression" dxfId="553" priority="567">
      <formula>"="</formula>
    </cfRule>
  </conditionalFormatting>
  <conditionalFormatting sqref="F510">
    <cfRule type="expression" dxfId="552" priority="566">
      <formula>"="</formula>
    </cfRule>
  </conditionalFormatting>
  <conditionalFormatting sqref="F511">
    <cfRule type="expression" dxfId="551" priority="565">
      <formula>"="</formula>
    </cfRule>
  </conditionalFormatting>
  <conditionalFormatting sqref="F512">
    <cfRule type="expression" dxfId="550" priority="564">
      <formula>"="</formula>
    </cfRule>
  </conditionalFormatting>
  <conditionalFormatting sqref="F513">
    <cfRule type="expression" dxfId="549" priority="563">
      <formula>"="</formula>
    </cfRule>
  </conditionalFormatting>
  <conditionalFormatting sqref="F514">
    <cfRule type="expression" dxfId="548" priority="562">
      <formula>"="</formula>
    </cfRule>
  </conditionalFormatting>
  <conditionalFormatting sqref="F515">
    <cfRule type="expression" dxfId="547" priority="561">
      <formula>"="</formula>
    </cfRule>
  </conditionalFormatting>
  <conditionalFormatting sqref="F516">
    <cfRule type="expression" dxfId="546" priority="560">
      <formula>"="</formula>
    </cfRule>
  </conditionalFormatting>
  <conditionalFormatting sqref="F517">
    <cfRule type="expression" dxfId="545" priority="559">
      <formula>"="</formula>
    </cfRule>
  </conditionalFormatting>
  <conditionalFormatting sqref="F518">
    <cfRule type="expression" dxfId="544" priority="558">
      <formula>"="</formula>
    </cfRule>
  </conditionalFormatting>
  <conditionalFormatting sqref="F519">
    <cfRule type="expression" dxfId="543" priority="557">
      <formula>"="</formula>
    </cfRule>
  </conditionalFormatting>
  <conditionalFormatting sqref="F520">
    <cfRule type="expression" dxfId="542" priority="556">
      <formula>"="</formula>
    </cfRule>
  </conditionalFormatting>
  <conditionalFormatting sqref="F521">
    <cfRule type="expression" dxfId="541" priority="555">
      <formula>"="</formula>
    </cfRule>
  </conditionalFormatting>
  <conditionalFormatting sqref="F522">
    <cfRule type="expression" dxfId="540" priority="554">
      <formula>"="</formula>
    </cfRule>
  </conditionalFormatting>
  <conditionalFormatting sqref="F523">
    <cfRule type="expression" dxfId="539" priority="553">
      <formula>"="</formula>
    </cfRule>
  </conditionalFormatting>
  <conditionalFormatting sqref="F524">
    <cfRule type="expression" dxfId="538" priority="552">
      <formula>"="</formula>
    </cfRule>
  </conditionalFormatting>
  <conditionalFormatting sqref="F525">
    <cfRule type="expression" dxfId="537" priority="551">
      <formula>"="</formula>
    </cfRule>
  </conditionalFormatting>
  <conditionalFormatting sqref="F526">
    <cfRule type="expression" dxfId="536" priority="550">
      <formula>"="</formula>
    </cfRule>
  </conditionalFormatting>
  <conditionalFormatting sqref="F527">
    <cfRule type="expression" dxfId="535" priority="549">
      <formula>"="</formula>
    </cfRule>
  </conditionalFormatting>
  <conditionalFormatting sqref="F528">
    <cfRule type="expression" dxfId="534" priority="548">
      <formula>"="</formula>
    </cfRule>
  </conditionalFormatting>
  <conditionalFormatting sqref="F529">
    <cfRule type="expression" dxfId="533" priority="547">
      <formula>"="</formula>
    </cfRule>
  </conditionalFormatting>
  <conditionalFormatting sqref="F530">
    <cfRule type="expression" dxfId="532" priority="546">
      <formula>"="</formula>
    </cfRule>
  </conditionalFormatting>
  <conditionalFormatting sqref="F531">
    <cfRule type="expression" dxfId="531" priority="545">
      <formula>"="</formula>
    </cfRule>
  </conditionalFormatting>
  <conditionalFormatting sqref="F532">
    <cfRule type="expression" dxfId="530" priority="544">
      <formula>"="</formula>
    </cfRule>
  </conditionalFormatting>
  <conditionalFormatting sqref="F533">
    <cfRule type="expression" dxfId="529" priority="543">
      <formula>"="</formula>
    </cfRule>
  </conditionalFormatting>
  <conditionalFormatting sqref="F534">
    <cfRule type="expression" dxfId="528" priority="542">
      <formula>"="</formula>
    </cfRule>
  </conditionalFormatting>
  <conditionalFormatting sqref="F535">
    <cfRule type="expression" dxfId="527" priority="541">
      <formula>"="</formula>
    </cfRule>
  </conditionalFormatting>
  <conditionalFormatting sqref="F536">
    <cfRule type="expression" dxfId="526" priority="540">
      <formula>"="</formula>
    </cfRule>
  </conditionalFormatting>
  <conditionalFormatting sqref="F537">
    <cfRule type="expression" dxfId="525" priority="539">
      <formula>"="</formula>
    </cfRule>
  </conditionalFormatting>
  <conditionalFormatting sqref="F538">
    <cfRule type="expression" dxfId="524" priority="538">
      <formula>"="</formula>
    </cfRule>
  </conditionalFormatting>
  <conditionalFormatting sqref="F539">
    <cfRule type="expression" dxfId="523" priority="537">
      <formula>"="</formula>
    </cfRule>
  </conditionalFormatting>
  <conditionalFormatting sqref="F540">
    <cfRule type="expression" dxfId="522" priority="536">
      <formula>"="</formula>
    </cfRule>
  </conditionalFormatting>
  <conditionalFormatting sqref="F541">
    <cfRule type="expression" dxfId="521" priority="535">
      <formula>"="</formula>
    </cfRule>
  </conditionalFormatting>
  <conditionalFormatting sqref="F542">
    <cfRule type="expression" dxfId="520" priority="534">
      <formula>"="</formula>
    </cfRule>
  </conditionalFormatting>
  <conditionalFormatting sqref="F543:F544">
    <cfRule type="expression" dxfId="519" priority="533">
      <formula>"="</formula>
    </cfRule>
  </conditionalFormatting>
  <conditionalFormatting sqref="F546">
    <cfRule type="expression" dxfId="518" priority="532">
      <formula>"="</formula>
    </cfRule>
  </conditionalFormatting>
  <conditionalFormatting sqref="F553">
    <cfRule type="expression" dxfId="517" priority="531">
      <formula>"="</formula>
    </cfRule>
  </conditionalFormatting>
  <conditionalFormatting sqref="F552">
    <cfRule type="expression" dxfId="516" priority="530">
      <formula>"="</formula>
    </cfRule>
  </conditionalFormatting>
  <conditionalFormatting sqref="F555">
    <cfRule type="expression" dxfId="515" priority="529">
      <formula>"="</formula>
    </cfRule>
  </conditionalFormatting>
  <conditionalFormatting sqref="F556">
    <cfRule type="expression" dxfId="514" priority="528">
      <formula>"="</formula>
    </cfRule>
  </conditionalFormatting>
  <conditionalFormatting sqref="F557">
    <cfRule type="expression" dxfId="513" priority="527">
      <formula>"="</formula>
    </cfRule>
  </conditionalFormatting>
  <conditionalFormatting sqref="F558">
    <cfRule type="expression" dxfId="512" priority="526">
      <formula>"="</formula>
    </cfRule>
  </conditionalFormatting>
  <conditionalFormatting sqref="F559">
    <cfRule type="expression" dxfId="511" priority="525">
      <formula>"="</formula>
    </cfRule>
  </conditionalFormatting>
  <conditionalFormatting sqref="F560">
    <cfRule type="expression" dxfId="510" priority="524">
      <formula>"="</formula>
    </cfRule>
  </conditionalFormatting>
  <conditionalFormatting sqref="F561">
    <cfRule type="expression" dxfId="509" priority="523">
      <formula>"="</formula>
    </cfRule>
  </conditionalFormatting>
  <conditionalFormatting sqref="F562">
    <cfRule type="expression" dxfId="508" priority="522">
      <formula>"="</formula>
    </cfRule>
  </conditionalFormatting>
  <conditionalFormatting sqref="F563">
    <cfRule type="expression" dxfId="507" priority="521">
      <formula>"="</formula>
    </cfRule>
  </conditionalFormatting>
  <conditionalFormatting sqref="F547">
    <cfRule type="expression" dxfId="506" priority="520">
      <formula>"="</formula>
    </cfRule>
  </conditionalFormatting>
  <conditionalFormatting sqref="F548">
    <cfRule type="expression" dxfId="505" priority="519">
      <formula>"="</formula>
    </cfRule>
  </conditionalFormatting>
  <conditionalFormatting sqref="F549">
    <cfRule type="expression" dxfId="504" priority="518">
      <formula>"="</formula>
    </cfRule>
  </conditionalFormatting>
  <conditionalFormatting sqref="F550">
    <cfRule type="expression" dxfId="503" priority="517">
      <formula>"="</formula>
    </cfRule>
  </conditionalFormatting>
  <conditionalFormatting sqref="F551">
    <cfRule type="expression" dxfId="502" priority="516">
      <formula>"="</formula>
    </cfRule>
  </conditionalFormatting>
  <conditionalFormatting sqref="F554">
    <cfRule type="expression" dxfId="501" priority="515">
      <formula>"="</formula>
    </cfRule>
  </conditionalFormatting>
  <conditionalFormatting sqref="F564">
    <cfRule type="expression" dxfId="500" priority="514">
      <formula>"="</formula>
    </cfRule>
  </conditionalFormatting>
  <conditionalFormatting sqref="F565">
    <cfRule type="expression" dxfId="499" priority="513">
      <formula>"="</formula>
    </cfRule>
  </conditionalFormatting>
  <conditionalFormatting sqref="F566">
    <cfRule type="expression" dxfId="498" priority="512">
      <formula>"="</formula>
    </cfRule>
  </conditionalFormatting>
  <conditionalFormatting sqref="F545">
    <cfRule type="expression" dxfId="497" priority="511">
      <formula>"="</formula>
    </cfRule>
  </conditionalFormatting>
  <conditionalFormatting sqref="F567:F568">
    <cfRule type="expression" dxfId="496" priority="510">
      <formula>"="</formula>
    </cfRule>
  </conditionalFormatting>
  <conditionalFormatting sqref="F570">
    <cfRule type="expression" dxfId="495" priority="509">
      <formula>"="</formula>
    </cfRule>
  </conditionalFormatting>
  <conditionalFormatting sqref="F571">
    <cfRule type="expression" dxfId="494" priority="508">
      <formula>"="</formula>
    </cfRule>
  </conditionalFormatting>
  <conditionalFormatting sqref="F572">
    <cfRule type="expression" dxfId="493" priority="507">
      <formula>"="</formula>
    </cfRule>
  </conditionalFormatting>
  <conditionalFormatting sqref="F573">
    <cfRule type="expression" dxfId="492" priority="506">
      <formula>"="</formula>
    </cfRule>
  </conditionalFormatting>
  <conditionalFormatting sqref="F934">
    <cfRule type="expression" dxfId="491" priority="201">
      <formula>"="</formula>
    </cfRule>
  </conditionalFormatting>
  <conditionalFormatting sqref="F575">
    <cfRule type="expression" dxfId="490" priority="504">
      <formula>"="</formula>
    </cfRule>
  </conditionalFormatting>
  <conditionalFormatting sqref="F576">
    <cfRule type="expression" dxfId="489" priority="503">
      <formula>"="</formula>
    </cfRule>
  </conditionalFormatting>
  <conditionalFormatting sqref="F577">
    <cfRule type="expression" dxfId="488" priority="502">
      <formula>"="</formula>
    </cfRule>
  </conditionalFormatting>
  <conditionalFormatting sqref="F578">
    <cfRule type="expression" dxfId="487" priority="501">
      <formula>"="</formula>
    </cfRule>
  </conditionalFormatting>
  <conditionalFormatting sqref="F579">
    <cfRule type="expression" dxfId="486" priority="500">
      <formula>"="</formula>
    </cfRule>
  </conditionalFormatting>
  <conditionalFormatting sqref="F580">
    <cfRule type="expression" dxfId="485" priority="499">
      <formula>"="</formula>
    </cfRule>
  </conditionalFormatting>
  <conditionalFormatting sqref="F581">
    <cfRule type="expression" dxfId="484" priority="498">
      <formula>"="</formula>
    </cfRule>
  </conditionalFormatting>
  <conditionalFormatting sqref="F582">
    <cfRule type="expression" dxfId="483" priority="497">
      <formula>"="</formula>
    </cfRule>
  </conditionalFormatting>
  <conditionalFormatting sqref="F583">
    <cfRule type="expression" dxfId="482" priority="496">
      <formula>"="</formula>
    </cfRule>
  </conditionalFormatting>
  <conditionalFormatting sqref="F584">
    <cfRule type="expression" dxfId="481" priority="495">
      <formula>"="</formula>
    </cfRule>
  </conditionalFormatting>
  <conditionalFormatting sqref="F585">
    <cfRule type="expression" dxfId="480" priority="494">
      <formula>"="</formula>
    </cfRule>
  </conditionalFormatting>
  <conditionalFormatting sqref="F586">
    <cfRule type="expression" dxfId="479" priority="493">
      <formula>"="</formula>
    </cfRule>
  </conditionalFormatting>
  <conditionalFormatting sqref="F587">
    <cfRule type="expression" dxfId="478" priority="492">
      <formula>"="</formula>
    </cfRule>
  </conditionalFormatting>
  <conditionalFormatting sqref="F590">
    <cfRule type="expression" dxfId="477" priority="491">
      <formula>"="</formula>
    </cfRule>
  </conditionalFormatting>
  <conditionalFormatting sqref="F591">
    <cfRule type="expression" dxfId="476" priority="490">
      <formula>"="</formula>
    </cfRule>
  </conditionalFormatting>
  <conditionalFormatting sqref="F588">
    <cfRule type="expression" dxfId="475" priority="489">
      <formula>"="</formula>
    </cfRule>
  </conditionalFormatting>
  <conditionalFormatting sqref="F589">
    <cfRule type="expression" dxfId="474" priority="488">
      <formula>"="</formula>
    </cfRule>
  </conditionalFormatting>
  <conditionalFormatting sqref="F592">
    <cfRule type="expression" dxfId="473" priority="487">
      <formula>"="</formula>
    </cfRule>
  </conditionalFormatting>
  <conditionalFormatting sqref="F593">
    <cfRule type="expression" dxfId="472" priority="486">
      <formula>"="</formula>
    </cfRule>
  </conditionalFormatting>
  <conditionalFormatting sqref="F569">
    <cfRule type="expression" dxfId="471" priority="485">
      <formula>"="</formula>
    </cfRule>
  </conditionalFormatting>
  <conditionalFormatting sqref="F574">
    <cfRule type="expression" dxfId="470" priority="484">
      <formula>"="</formula>
    </cfRule>
  </conditionalFormatting>
  <conditionalFormatting sqref="F626">
    <cfRule type="expression" dxfId="469" priority="478">
      <formula>"="</formula>
    </cfRule>
  </conditionalFormatting>
  <conditionalFormatting sqref="F602:F603">
    <cfRule type="expression" dxfId="468" priority="482">
      <formula>"="</formula>
    </cfRule>
  </conditionalFormatting>
  <conditionalFormatting sqref="F594:F595">
    <cfRule type="expression" dxfId="467" priority="483">
      <formula>"="</formula>
    </cfRule>
  </conditionalFormatting>
  <conditionalFormatting sqref="F610:F611">
    <cfRule type="expression" dxfId="466" priority="481">
      <formula>"="</formula>
    </cfRule>
  </conditionalFormatting>
  <conditionalFormatting sqref="F612">
    <cfRule type="expression" dxfId="465" priority="480">
      <formula>"="</formula>
    </cfRule>
  </conditionalFormatting>
  <conditionalFormatting sqref="F624:F625">
    <cfRule type="expression" dxfId="464" priority="479">
      <formula>"="</formula>
    </cfRule>
  </conditionalFormatting>
  <conditionalFormatting sqref="F599">
    <cfRule type="expression" dxfId="463" priority="477">
      <formula>"="</formula>
    </cfRule>
  </conditionalFormatting>
  <conditionalFormatting sqref="F600">
    <cfRule type="expression" dxfId="462" priority="476">
      <formula>"="</formula>
    </cfRule>
  </conditionalFormatting>
  <conditionalFormatting sqref="F601">
    <cfRule type="expression" dxfId="461" priority="475">
      <formula>"="</formula>
    </cfRule>
  </conditionalFormatting>
  <conditionalFormatting sqref="F597">
    <cfRule type="expression" dxfId="460" priority="474">
      <formula>"="</formula>
    </cfRule>
  </conditionalFormatting>
  <conditionalFormatting sqref="F598">
    <cfRule type="expression" dxfId="459" priority="473">
      <formula>"="</formula>
    </cfRule>
  </conditionalFormatting>
  <conditionalFormatting sqref="F605">
    <cfRule type="expression" dxfId="458" priority="472">
      <formula>"="</formula>
    </cfRule>
  </conditionalFormatting>
  <conditionalFormatting sqref="F606">
    <cfRule type="expression" dxfId="457" priority="471">
      <formula>"="</formula>
    </cfRule>
  </conditionalFormatting>
  <conditionalFormatting sqref="F607">
    <cfRule type="expression" dxfId="456" priority="470">
      <formula>"="</formula>
    </cfRule>
  </conditionalFormatting>
  <conditionalFormatting sqref="F608">
    <cfRule type="expression" dxfId="455" priority="469">
      <formula>"="</formula>
    </cfRule>
  </conditionalFormatting>
  <conditionalFormatting sqref="F609">
    <cfRule type="expression" dxfId="454" priority="468">
      <formula>"="</formula>
    </cfRule>
  </conditionalFormatting>
  <conditionalFormatting sqref="F613">
    <cfRule type="expression" dxfId="453" priority="467">
      <formula>"="</formula>
    </cfRule>
  </conditionalFormatting>
  <conditionalFormatting sqref="F614">
    <cfRule type="expression" dxfId="452" priority="466">
      <formula>"="</formula>
    </cfRule>
  </conditionalFormatting>
  <conditionalFormatting sqref="F615">
    <cfRule type="expression" dxfId="451" priority="465">
      <formula>"="</formula>
    </cfRule>
  </conditionalFormatting>
  <conditionalFormatting sqref="F622">
    <cfRule type="expression" dxfId="450" priority="464">
      <formula>"="</formula>
    </cfRule>
  </conditionalFormatting>
  <conditionalFormatting sqref="F623">
    <cfRule type="expression" dxfId="449" priority="463">
      <formula>"="</formula>
    </cfRule>
  </conditionalFormatting>
  <conditionalFormatting sqref="F616">
    <cfRule type="expression" dxfId="448" priority="462">
      <formula>"="</formula>
    </cfRule>
  </conditionalFormatting>
  <conditionalFormatting sqref="F617">
    <cfRule type="expression" dxfId="447" priority="461">
      <formula>"="</formula>
    </cfRule>
  </conditionalFormatting>
  <conditionalFormatting sqref="F618">
    <cfRule type="expression" dxfId="446" priority="460">
      <formula>"="</formula>
    </cfRule>
  </conditionalFormatting>
  <conditionalFormatting sqref="F619">
    <cfRule type="expression" dxfId="445" priority="459">
      <formula>"="</formula>
    </cfRule>
  </conditionalFormatting>
  <conditionalFormatting sqref="F620">
    <cfRule type="expression" dxfId="444" priority="458">
      <formula>"="</formula>
    </cfRule>
  </conditionalFormatting>
  <conditionalFormatting sqref="F621">
    <cfRule type="expression" dxfId="443" priority="457">
      <formula>"="</formula>
    </cfRule>
  </conditionalFormatting>
  <conditionalFormatting sqref="F627">
    <cfRule type="expression" dxfId="442" priority="456">
      <formula>"="</formula>
    </cfRule>
  </conditionalFormatting>
  <conditionalFormatting sqref="F628">
    <cfRule type="expression" dxfId="441" priority="455">
      <formula>"="</formula>
    </cfRule>
  </conditionalFormatting>
  <conditionalFormatting sqref="F629">
    <cfRule type="expression" dxfId="440" priority="454">
      <formula>"="</formula>
    </cfRule>
  </conditionalFormatting>
  <conditionalFormatting sqref="F630">
    <cfRule type="expression" dxfId="439" priority="453">
      <formula>"="</formula>
    </cfRule>
  </conditionalFormatting>
  <conditionalFormatting sqref="F631">
    <cfRule type="expression" dxfId="438" priority="452">
      <formula>"="</formula>
    </cfRule>
  </conditionalFormatting>
  <conditionalFormatting sqref="F633">
    <cfRule type="expression" dxfId="437" priority="451">
      <formula>"="</formula>
    </cfRule>
  </conditionalFormatting>
  <conditionalFormatting sqref="F634">
    <cfRule type="expression" dxfId="436" priority="450">
      <formula>"="</formula>
    </cfRule>
  </conditionalFormatting>
  <conditionalFormatting sqref="F632">
    <cfRule type="expression" dxfId="435" priority="449">
      <formula>"="</formula>
    </cfRule>
  </conditionalFormatting>
  <conditionalFormatting sqref="F596">
    <cfRule type="expression" dxfId="434" priority="448">
      <formula>"="</formula>
    </cfRule>
  </conditionalFormatting>
  <conditionalFormatting sqref="F604">
    <cfRule type="expression" dxfId="433" priority="447">
      <formula>"="</formula>
    </cfRule>
  </conditionalFormatting>
  <conditionalFormatting sqref="F650">
    <cfRule type="expression" dxfId="432" priority="443">
      <formula>"="</formula>
    </cfRule>
  </conditionalFormatting>
  <conditionalFormatting sqref="F637">
    <cfRule type="expression" dxfId="431" priority="445">
      <formula>"="</formula>
    </cfRule>
  </conditionalFormatting>
  <conditionalFormatting sqref="F635:F636">
    <cfRule type="expression" dxfId="430" priority="446">
      <formula>"="</formula>
    </cfRule>
  </conditionalFormatting>
  <conditionalFormatting sqref="F648:F649">
    <cfRule type="expression" dxfId="429" priority="444">
      <formula>"="</formula>
    </cfRule>
  </conditionalFormatting>
  <conditionalFormatting sqref="F638">
    <cfRule type="expression" dxfId="428" priority="442">
      <formula>"="</formula>
    </cfRule>
  </conditionalFormatting>
  <conditionalFormatting sqref="F639">
    <cfRule type="expression" dxfId="427" priority="441">
      <formula>"="</formula>
    </cfRule>
  </conditionalFormatting>
  <conditionalFormatting sqref="F640">
    <cfRule type="expression" dxfId="426" priority="440">
      <formula>"="</formula>
    </cfRule>
  </conditionalFormatting>
  <conditionalFormatting sqref="F641">
    <cfRule type="expression" dxfId="425" priority="439">
      <formula>"="</formula>
    </cfRule>
  </conditionalFormatting>
  <conditionalFormatting sqref="F642">
    <cfRule type="expression" dxfId="424" priority="438">
      <formula>"="</formula>
    </cfRule>
  </conditionalFormatting>
  <conditionalFormatting sqref="F643">
    <cfRule type="expression" dxfId="423" priority="437">
      <formula>"="</formula>
    </cfRule>
  </conditionalFormatting>
  <conditionalFormatting sqref="F644">
    <cfRule type="expression" dxfId="422" priority="436">
      <formula>"="</formula>
    </cfRule>
  </conditionalFormatting>
  <conditionalFormatting sqref="F645">
    <cfRule type="expression" dxfId="421" priority="435">
      <formula>"="</formula>
    </cfRule>
  </conditionalFormatting>
  <conditionalFormatting sqref="F646">
    <cfRule type="expression" dxfId="420" priority="434">
      <formula>"="</formula>
    </cfRule>
  </conditionalFormatting>
  <conditionalFormatting sqref="F647">
    <cfRule type="expression" dxfId="419" priority="433">
      <formula>"="</formula>
    </cfRule>
  </conditionalFormatting>
  <conditionalFormatting sqref="F651">
    <cfRule type="expression" dxfId="418" priority="432">
      <formula>"="</formula>
    </cfRule>
  </conditionalFormatting>
  <conditionalFormatting sqref="F653">
    <cfRule type="expression" dxfId="417" priority="431">
      <formula>"="</formula>
    </cfRule>
  </conditionalFormatting>
  <conditionalFormatting sqref="F654">
    <cfRule type="expression" dxfId="416" priority="430">
      <formula>"="</formula>
    </cfRule>
  </conditionalFormatting>
  <conditionalFormatting sqref="F655">
    <cfRule type="expression" dxfId="415" priority="429">
      <formula>"="</formula>
    </cfRule>
  </conditionalFormatting>
  <conditionalFormatting sqref="F656">
    <cfRule type="expression" dxfId="414" priority="428">
      <formula>"="</formula>
    </cfRule>
  </conditionalFormatting>
  <conditionalFormatting sqref="F657">
    <cfRule type="expression" dxfId="413" priority="427">
      <formula>"="</formula>
    </cfRule>
  </conditionalFormatting>
  <conditionalFormatting sqref="F658">
    <cfRule type="expression" dxfId="412" priority="426">
      <formula>"="</formula>
    </cfRule>
  </conditionalFormatting>
  <conditionalFormatting sqref="F659">
    <cfRule type="expression" dxfId="411" priority="425">
      <formula>"="</formula>
    </cfRule>
  </conditionalFormatting>
  <conditionalFormatting sqref="F664">
    <cfRule type="expression" dxfId="410" priority="424">
      <formula>"="</formula>
    </cfRule>
  </conditionalFormatting>
  <conditionalFormatting sqref="F665">
    <cfRule type="expression" dxfId="409" priority="423">
      <formula>"="</formula>
    </cfRule>
  </conditionalFormatting>
  <conditionalFormatting sqref="F660">
    <cfRule type="expression" dxfId="408" priority="422">
      <formula>"="</formula>
    </cfRule>
  </conditionalFormatting>
  <conditionalFormatting sqref="F661">
    <cfRule type="expression" dxfId="407" priority="421">
      <formula>"="</formula>
    </cfRule>
  </conditionalFormatting>
  <conditionalFormatting sqref="F662">
    <cfRule type="expression" dxfId="406" priority="420">
      <formula>"="</formula>
    </cfRule>
  </conditionalFormatting>
  <conditionalFormatting sqref="F663">
    <cfRule type="expression" dxfId="405" priority="419">
      <formula>"="</formula>
    </cfRule>
  </conditionalFormatting>
  <conditionalFormatting sqref="F652">
    <cfRule type="expression" dxfId="404" priority="418">
      <formula>"="</formula>
    </cfRule>
  </conditionalFormatting>
  <conditionalFormatting sqref="E569:E571">
    <cfRule type="expression" dxfId="403" priority="417">
      <formula>"="</formula>
    </cfRule>
  </conditionalFormatting>
  <conditionalFormatting sqref="E567">
    <cfRule type="expression" dxfId="402" priority="416">
      <formula>"="</formula>
    </cfRule>
  </conditionalFormatting>
  <conditionalFormatting sqref="E568">
    <cfRule type="expression" dxfId="401" priority="415">
      <formula>"="</formula>
    </cfRule>
  </conditionalFormatting>
  <conditionalFormatting sqref="E596:E598">
    <cfRule type="expression" dxfId="400" priority="414">
      <formula>"="</formula>
    </cfRule>
  </conditionalFormatting>
  <conditionalFormatting sqref="E594">
    <cfRule type="expression" dxfId="399" priority="413">
      <formula>"="</formula>
    </cfRule>
  </conditionalFormatting>
  <conditionalFormatting sqref="E595">
    <cfRule type="expression" dxfId="398" priority="412">
      <formula>"="</formula>
    </cfRule>
  </conditionalFormatting>
  <conditionalFormatting sqref="E604:E606">
    <cfRule type="expression" dxfId="397" priority="411">
      <formula>"="</formula>
    </cfRule>
  </conditionalFormatting>
  <conditionalFormatting sqref="E602">
    <cfRule type="expression" dxfId="396" priority="410">
      <formula>"="</formula>
    </cfRule>
  </conditionalFormatting>
  <conditionalFormatting sqref="E603">
    <cfRule type="expression" dxfId="395" priority="409">
      <formula>"="</formula>
    </cfRule>
  </conditionalFormatting>
  <conditionalFormatting sqref="E612:E614">
    <cfRule type="expression" dxfId="394" priority="408">
      <formula>"="</formula>
    </cfRule>
  </conditionalFormatting>
  <conditionalFormatting sqref="E610">
    <cfRule type="expression" dxfId="393" priority="407">
      <formula>"="</formula>
    </cfRule>
  </conditionalFormatting>
  <conditionalFormatting sqref="E611">
    <cfRule type="expression" dxfId="392" priority="406">
      <formula>"="</formula>
    </cfRule>
  </conditionalFormatting>
  <conditionalFormatting sqref="E626:E628">
    <cfRule type="expression" dxfId="391" priority="405">
      <formula>"="</formula>
    </cfRule>
  </conditionalFormatting>
  <conditionalFormatting sqref="E624">
    <cfRule type="expression" dxfId="390" priority="404">
      <formula>"="</formula>
    </cfRule>
  </conditionalFormatting>
  <conditionalFormatting sqref="E625">
    <cfRule type="expression" dxfId="389" priority="403">
      <formula>"="</formula>
    </cfRule>
  </conditionalFormatting>
  <conditionalFormatting sqref="E637:E639">
    <cfRule type="expression" dxfId="388" priority="402">
      <formula>"="</formula>
    </cfRule>
  </conditionalFormatting>
  <conditionalFormatting sqref="E635">
    <cfRule type="expression" dxfId="387" priority="401">
      <formula>"="</formula>
    </cfRule>
  </conditionalFormatting>
  <conditionalFormatting sqref="E636">
    <cfRule type="expression" dxfId="386" priority="400">
      <formula>"="</formula>
    </cfRule>
  </conditionalFormatting>
  <conditionalFormatting sqref="E650:E652">
    <cfRule type="expression" dxfId="385" priority="399">
      <formula>"="</formula>
    </cfRule>
  </conditionalFormatting>
  <conditionalFormatting sqref="E648">
    <cfRule type="expression" dxfId="384" priority="398">
      <formula>"="</formula>
    </cfRule>
  </conditionalFormatting>
  <conditionalFormatting sqref="E649">
    <cfRule type="expression" dxfId="383" priority="397">
      <formula>"="</formula>
    </cfRule>
  </conditionalFormatting>
  <conditionalFormatting sqref="E668:E670">
    <cfRule type="expression" dxfId="382" priority="396">
      <formula>"="</formula>
    </cfRule>
  </conditionalFormatting>
  <conditionalFormatting sqref="E666">
    <cfRule type="expression" dxfId="381" priority="395">
      <formula>"="</formula>
    </cfRule>
  </conditionalFormatting>
  <conditionalFormatting sqref="E667">
    <cfRule type="expression" dxfId="380" priority="394">
      <formula>"="</formula>
    </cfRule>
  </conditionalFormatting>
  <conditionalFormatting sqref="E687:E689">
    <cfRule type="expression" dxfId="379" priority="393">
      <formula>"="</formula>
    </cfRule>
  </conditionalFormatting>
  <conditionalFormatting sqref="E685">
    <cfRule type="expression" dxfId="378" priority="392">
      <formula>"="</formula>
    </cfRule>
  </conditionalFormatting>
  <conditionalFormatting sqref="E686">
    <cfRule type="expression" dxfId="377" priority="391">
      <formula>"="</formula>
    </cfRule>
  </conditionalFormatting>
  <conditionalFormatting sqref="E701:E703">
    <cfRule type="expression" dxfId="376" priority="390">
      <formula>"="</formula>
    </cfRule>
  </conditionalFormatting>
  <conditionalFormatting sqref="E699">
    <cfRule type="expression" dxfId="375" priority="389">
      <formula>"="</formula>
    </cfRule>
  </conditionalFormatting>
  <conditionalFormatting sqref="E700">
    <cfRule type="expression" dxfId="374" priority="388">
      <formula>"="</formula>
    </cfRule>
  </conditionalFormatting>
  <conditionalFormatting sqref="E715:E717">
    <cfRule type="expression" dxfId="373" priority="387">
      <formula>"="</formula>
    </cfRule>
  </conditionalFormatting>
  <conditionalFormatting sqref="E713">
    <cfRule type="expression" dxfId="372" priority="386">
      <formula>"="</formula>
    </cfRule>
  </conditionalFormatting>
  <conditionalFormatting sqref="E714">
    <cfRule type="expression" dxfId="371" priority="385">
      <formula>"="</formula>
    </cfRule>
  </conditionalFormatting>
  <conditionalFormatting sqref="E733:E735">
    <cfRule type="expression" dxfId="370" priority="384">
      <formula>"="</formula>
    </cfRule>
  </conditionalFormatting>
  <conditionalFormatting sqref="E731">
    <cfRule type="expression" dxfId="369" priority="383">
      <formula>"="</formula>
    </cfRule>
  </conditionalFormatting>
  <conditionalFormatting sqref="E732">
    <cfRule type="expression" dxfId="368" priority="382">
      <formula>"="</formula>
    </cfRule>
  </conditionalFormatting>
  <conditionalFormatting sqref="E770:E772">
    <cfRule type="expression" dxfId="367" priority="381">
      <formula>"="</formula>
    </cfRule>
  </conditionalFormatting>
  <conditionalFormatting sqref="E768">
    <cfRule type="expression" dxfId="366" priority="380">
      <formula>"="</formula>
    </cfRule>
  </conditionalFormatting>
  <conditionalFormatting sqref="E769">
    <cfRule type="expression" dxfId="365" priority="379">
      <formula>"="</formula>
    </cfRule>
  </conditionalFormatting>
  <conditionalFormatting sqref="F685">
    <cfRule type="expression" dxfId="364" priority="376">
      <formula>"="</formula>
    </cfRule>
  </conditionalFormatting>
  <conditionalFormatting sqref="F687">
    <cfRule type="expression" dxfId="363" priority="375">
      <formula>"="</formula>
    </cfRule>
  </conditionalFormatting>
  <conditionalFormatting sqref="F666:F667">
    <cfRule type="expression" dxfId="362" priority="378">
      <formula>"="</formula>
    </cfRule>
  </conditionalFormatting>
  <conditionalFormatting sqref="F668">
    <cfRule type="expression" dxfId="361" priority="377">
      <formula>"="</formula>
    </cfRule>
  </conditionalFormatting>
  <conditionalFormatting sqref="F675">
    <cfRule type="expression" dxfId="360" priority="374">
      <formula>"="</formula>
    </cfRule>
  </conditionalFormatting>
  <conditionalFormatting sqref="F669">
    <cfRule type="expression" dxfId="359" priority="373">
      <formula>"="</formula>
    </cfRule>
  </conditionalFormatting>
  <conditionalFormatting sqref="F670">
    <cfRule type="expression" dxfId="358" priority="372">
      <formula>"="</formula>
    </cfRule>
  </conditionalFormatting>
  <conditionalFormatting sqref="F671">
    <cfRule type="expression" dxfId="357" priority="371">
      <formula>"="</formula>
    </cfRule>
  </conditionalFormatting>
  <conditionalFormatting sqref="F672">
    <cfRule type="expression" dxfId="356" priority="370">
      <formula>"="</formula>
    </cfRule>
  </conditionalFormatting>
  <conditionalFormatting sqref="F673">
    <cfRule type="expression" dxfId="355" priority="369">
      <formula>"="</formula>
    </cfRule>
  </conditionalFormatting>
  <conditionalFormatting sqref="F674">
    <cfRule type="expression" dxfId="354" priority="368">
      <formula>"="</formula>
    </cfRule>
  </conditionalFormatting>
  <conditionalFormatting sqref="F676">
    <cfRule type="expression" dxfId="353" priority="367">
      <formula>"="</formula>
    </cfRule>
  </conditionalFormatting>
  <conditionalFormatting sqref="F677">
    <cfRule type="expression" dxfId="352" priority="366">
      <formula>"="</formula>
    </cfRule>
  </conditionalFormatting>
  <conditionalFormatting sqref="F683">
    <cfRule type="expression" dxfId="351" priority="365">
      <formula>"="</formula>
    </cfRule>
  </conditionalFormatting>
  <conditionalFormatting sqref="F684">
    <cfRule type="expression" dxfId="350" priority="364">
      <formula>"="</formula>
    </cfRule>
  </conditionalFormatting>
  <conditionalFormatting sqref="F682">
    <cfRule type="expression" dxfId="349" priority="363">
      <formula>"="</formula>
    </cfRule>
  </conditionalFormatting>
  <conditionalFormatting sqref="F680">
    <cfRule type="expression" dxfId="348" priority="362">
      <formula>"="</formula>
    </cfRule>
  </conditionalFormatting>
  <conditionalFormatting sqref="F678">
    <cfRule type="expression" dxfId="347" priority="361">
      <formula>"="</formula>
    </cfRule>
  </conditionalFormatting>
  <conditionalFormatting sqref="F679">
    <cfRule type="expression" dxfId="346" priority="360">
      <formula>"="</formula>
    </cfRule>
  </conditionalFormatting>
  <conditionalFormatting sqref="F681">
    <cfRule type="expression" dxfId="345" priority="359">
      <formula>"="</formula>
    </cfRule>
  </conditionalFormatting>
  <conditionalFormatting sqref="F691">
    <cfRule type="expression" dxfId="344" priority="358">
      <formula>"="</formula>
    </cfRule>
  </conditionalFormatting>
  <conditionalFormatting sqref="F692">
    <cfRule type="expression" dxfId="343" priority="357">
      <formula>"="</formula>
    </cfRule>
  </conditionalFormatting>
  <conditionalFormatting sqref="F688">
    <cfRule type="expression" dxfId="342" priority="356">
      <formula>"="</formula>
    </cfRule>
  </conditionalFormatting>
  <conditionalFormatting sqref="F689">
    <cfRule type="expression" dxfId="341" priority="355">
      <formula>"="</formula>
    </cfRule>
  </conditionalFormatting>
  <conditionalFormatting sqref="F690">
    <cfRule type="expression" dxfId="340" priority="354">
      <formula>"="</formula>
    </cfRule>
  </conditionalFormatting>
  <conditionalFormatting sqref="F697">
    <cfRule type="expression" dxfId="339" priority="353">
      <formula>"="</formula>
    </cfRule>
  </conditionalFormatting>
  <conditionalFormatting sqref="F698">
    <cfRule type="expression" dxfId="338" priority="352">
      <formula>"="</formula>
    </cfRule>
  </conditionalFormatting>
  <conditionalFormatting sqref="F693">
    <cfRule type="expression" dxfId="337" priority="351">
      <formula>"="</formula>
    </cfRule>
  </conditionalFormatting>
  <conditionalFormatting sqref="F694">
    <cfRule type="expression" dxfId="336" priority="350">
      <formula>"="</formula>
    </cfRule>
  </conditionalFormatting>
  <conditionalFormatting sqref="F695">
    <cfRule type="expression" dxfId="335" priority="349">
      <formula>"="</formula>
    </cfRule>
  </conditionalFormatting>
  <conditionalFormatting sqref="F696">
    <cfRule type="expression" dxfId="334" priority="348">
      <formula>"="</formula>
    </cfRule>
  </conditionalFormatting>
  <conditionalFormatting sqref="F686">
    <cfRule type="expression" dxfId="333" priority="347">
      <formula>"="</formula>
    </cfRule>
  </conditionalFormatting>
  <conditionalFormatting sqref="F699">
    <cfRule type="expression" dxfId="332" priority="346">
      <formula>"="</formula>
    </cfRule>
  </conditionalFormatting>
  <conditionalFormatting sqref="F713">
    <cfRule type="expression" dxfId="331" priority="344">
      <formula>"="</formula>
    </cfRule>
  </conditionalFormatting>
  <conditionalFormatting sqref="F701">
    <cfRule type="expression" dxfId="330" priority="345">
      <formula>"="</formula>
    </cfRule>
  </conditionalFormatting>
  <conditionalFormatting sqref="F715">
    <cfRule type="expression" dxfId="329" priority="343">
      <formula>"="</formula>
    </cfRule>
  </conditionalFormatting>
  <conditionalFormatting sqref="F702">
    <cfRule type="expression" dxfId="328" priority="342">
      <formula>"="</formula>
    </cfRule>
  </conditionalFormatting>
  <conditionalFormatting sqref="F703">
    <cfRule type="expression" dxfId="327" priority="341">
      <formula>"="</formula>
    </cfRule>
  </conditionalFormatting>
  <conditionalFormatting sqref="F704">
    <cfRule type="expression" dxfId="326" priority="340">
      <formula>"="</formula>
    </cfRule>
  </conditionalFormatting>
  <conditionalFormatting sqref="F711">
    <cfRule type="expression" dxfId="325" priority="339">
      <formula>"="</formula>
    </cfRule>
  </conditionalFormatting>
  <conditionalFormatting sqref="F712">
    <cfRule type="expression" dxfId="324" priority="338">
      <formula>"="</formula>
    </cfRule>
  </conditionalFormatting>
  <conditionalFormatting sqref="F706">
    <cfRule type="expression" dxfId="323" priority="337">
      <formula>"="</formula>
    </cfRule>
  </conditionalFormatting>
  <conditionalFormatting sqref="F707">
    <cfRule type="expression" dxfId="322" priority="336">
      <formula>"="</formula>
    </cfRule>
  </conditionalFormatting>
  <conditionalFormatting sqref="F709">
    <cfRule type="expression" dxfId="321" priority="335">
      <formula>"="</formula>
    </cfRule>
  </conditionalFormatting>
  <conditionalFormatting sqref="F710">
    <cfRule type="expression" dxfId="320" priority="334">
      <formula>"="</formula>
    </cfRule>
  </conditionalFormatting>
  <conditionalFormatting sqref="F705">
    <cfRule type="expression" dxfId="319" priority="333">
      <formula>"="</formula>
    </cfRule>
  </conditionalFormatting>
  <conditionalFormatting sqref="F708">
    <cfRule type="expression" dxfId="318" priority="332">
      <formula>"="</formula>
    </cfRule>
  </conditionalFormatting>
  <conditionalFormatting sqref="F718">
    <cfRule type="expression" dxfId="317" priority="331">
      <formula>"="</formula>
    </cfRule>
  </conditionalFormatting>
  <conditionalFormatting sqref="F719">
    <cfRule type="expression" dxfId="316" priority="330">
      <formula>"="</formula>
    </cfRule>
  </conditionalFormatting>
  <conditionalFormatting sqref="F720">
    <cfRule type="expression" dxfId="315" priority="329">
      <formula>"="</formula>
    </cfRule>
  </conditionalFormatting>
  <conditionalFormatting sqref="F721">
    <cfRule type="expression" dxfId="314" priority="328">
      <formula>"="</formula>
    </cfRule>
  </conditionalFormatting>
  <conditionalFormatting sqref="F716">
    <cfRule type="expression" dxfId="313" priority="327">
      <formula>"="</formula>
    </cfRule>
  </conditionalFormatting>
  <conditionalFormatting sqref="F722">
    <cfRule type="expression" dxfId="312" priority="326">
      <formula>"="</formula>
    </cfRule>
  </conditionalFormatting>
  <conditionalFormatting sqref="F723">
    <cfRule type="expression" dxfId="311" priority="325">
      <formula>"="</formula>
    </cfRule>
  </conditionalFormatting>
  <conditionalFormatting sqref="F724">
    <cfRule type="expression" dxfId="310" priority="324">
      <formula>"="</formula>
    </cfRule>
  </conditionalFormatting>
  <conditionalFormatting sqref="F725">
    <cfRule type="expression" dxfId="309" priority="323">
      <formula>"="</formula>
    </cfRule>
  </conditionalFormatting>
  <conditionalFormatting sqref="F726">
    <cfRule type="expression" dxfId="308" priority="322">
      <formula>"="</formula>
    </cfRule>
  </conditionalFormatting>
  <conditionalFormatting sqref="F727">
    <cfRule type="expression" dxfId="307" priority="321">
      <formula>"="</formula>
    </cfRule>
  </conditionalFormatting>
  <conditionalFormatting sqref="F728">
    <cfRule type="expression" dxfId="306" priority="320">
      <formula>"="</formula>
    </cfRule>
  </conditionalFormatting>
  <conditionalFormatting sqref="F729">
    <cfRule type="expression" dxfId="305" priority="319">
      <formula>"="</formula>
    </cfRule>
  </conditionalFormatting>
  <conditionalFormatting sqref="F730">
    <cfRule type="expression" dxfId="304" priority="318">
      <formula>"="</formula>
    </cfRule>
  </conditionalFormatting>
  <conditionalFormatting sqref="F700">
    <cfRule type="expression" dxfId="303" priority="316">
      <formula>"="</formula>
    </cfRule>
  </conditionalFormatting>
  <conditionalFormatting sqref="F714">
    <cfRule type="expression" dxfId="302" priority="315">
      <formula>"="</formula>
    </cfRule>
  </conditionalFormatting>
  <conditionalFormatting sqref="F903">
    <cfRule type="expression" dxfId="301" priority="218">
      <formula>"="</formula>
    </cfRule>
  </conditionalFormatting>
  <conditionalFormatting sqref="F731">
    <cfRule type="expression" dxfId="300" priority="312">
      <formula>"="</formula>
    </cfRule>
  </conditionalFormatting>
  <conditionalFormatting sqref="F733">
    <cfRule type="expression" dxfId="299" priority="311">
      <formula>"="</formula>
    </cfRule>
  </conditionalFormatting>
  <conditionalFormatting sqref="F735">
    <cfRule type="expression" dxfId="298" priority="310">
      <formula>"="</formula>
    </cfRule>
  </conditionalFormatting>
  <conditionalFormatting sqref="F734">
    <cfRule type="expression" dxfId="297" priority="309">
      <formula>"="</formula>
    </cfRule>
  </conditionalFormatting>
  <conditionalFormatting sqref="F736">
    <cfRule type="expression" dxfId="296" priority="308">
      <formula>"="</formula>
    </cfRule>
  </conditionalFormatting>
  <conditionalFormatting sqref="F750">
    <cfRule type="expression" dxfId="295" priority="307">
      <formula>"="</formula>
    </cfRule>
  </conditionalFormatting>
  <conditionalFormatting sqref="F752">
    <cfRule type="expression" dxfId="294" priority="306">
      <formula>"="</formula>
    </cfRule>
  </conditionalFormatting>
  <conditionalFormatting sqref="F754">
    <cfRule type="expression" dxfId="293" priority="305">
      <formula>"="</formula>
    </cfRule>
  </conditionalFormatting>
  <conditionalFormatting sqref="F755">
    <cfRule type="expression" dxfId="292" priority="304">
      <formula>"="</formula>
    </cfRule>
  </conditionalFormatting>
  <conditionalFormatting sqref="F758">
    <cfRule type="expression" dxfId="291" priority="303">
      <formula>"="</formula>
    </cfRule>
  </conditionalFormatting>
  <conditionalFormatting sqref="F762">
    <cfRule type="expression" dxfId="290" priority="302">
      <formula>"="</formula>
    </cfRule>
  </conditionalFormatting>
  <conditionalFormatting sqref="F764">
    <cfRule type="expression" dxfId="289" priority="301">
      <formula>"="</formula>
    </cfRule>
  </conditionalFormatting>
  <conditionalFormatting sqref="F765">
    <cfRule type="expression" dxfId="288" priority="300">
      <formula>"="</formula>
    </cfRule>
  </conditionalFormatting>
  <conditionalFormatting sqref="F763">
    <cfRule type="expression" dxfId="287" priority="299">
      <formula>"="</formula>
    </cfRule>
  </conditionalFormatting>
  <conditionalFormatting sqref="F766">
    <cfRule type="expression" dxfId="286" priority="298">
      <formula>"="</formula>
    </cfRule>
  </conditionalFormatting>
  <conditionalFormatting sqref="F767">
    <cfRule type="expression" dxfId="285" priority="297">
      <formula>"="</formula>
    </cfRule>
  </conditionalFormatting>
  <conditionalFormatting sqref="F737">
    <cfRule type="expression" dxfId="284" priority="296">
      <formula>"="</formula>
    </cfRule>
  </conditionalFormatting>
  <conditionalFormatting sqref="F738">
    <cfRule type="expression" dxfId="283" priority="295">
      <formula>"="</formula>
    </cfRule>
  </conditionalFormatting>
  <conditionalFormatting sqref="F739">
    <cfRule type="expression" dxfId="282" priority="294">
      <formula>"="</formula>
    </cfRule>
  </conditionalFormatting>
  <conditionalFormatting sqref="F741">
    <cfRule type="expression" dxfId="281" priority="293">
      <formula>"="</formula>
    </cfRule>
  </conditionalFormatting>
  <conditionalFormatting sqref="F742">
    <cfRule type="expression" dxfId="280" priority="292">
      <formula>"="</formula>
    </cfRule>
  </conditionalFormatting>
  <conditionalFormatting sqref="F743">
    <cfRule type="expression" dxfId="279" priority="291">
      <formula>"="</formula>
    </cfRule>
  </conditionalFormatting>
  <conditionalFormatting sqref="F744">
    <cfRule type="expression" dxfId="278" priority="290">
      <formula>"="</formula>
    </cfRule>
  </conditionalFormatting>
  <conditionalFormatting sqref="F745">
    <cfRule type="expression" dxfId="277" priority="289">
      <formula>"="</formula>
    </cfRule>
  </conditionalFormatting>
  <conditionalFormatting sqref="F746">
    <cfRule type="expression" dxfId="276" priority="288">
      <formula>"="</formula>
    </cfRule>
  </conditionalFormatting>
  <conditionalFormatting sqref="F748">
    <cfRule type="expression" dxfId="275" priority="287">
      <formula>"="</formula>
    </cfRule>
  </conditionalFormatting>
  <conditionalFormatting sqref="F760">
    <cfRule type="expression" dxfId="274" priority="286">
      <formula>"="</formula>
    </cfRule>
  </conditionalFormatting>
  <conditionalFormatting sqref="F747">
    <cfRule type="expression" dxfId="273" priority="285">
      <formula>"="</formula>
    </cfRule>
  </conditionalFormatting>
  <conditionalFormatting sqref="F749">
    <cfRule type="expression" dxfId="272" priority="284">
      <formula>"="</formula>
    </cfRule>
  </conditionalFormatting>
  <conditionalFormatting sqref="F751">
    <cfRule type="expression" dxfId="271" priority="283">
      <formula>"="</formula>
    </cfRule>
  </conditionalFormatting>
  <conditionalFormatting sqref="F753">
    <cfRule type="expression" dxfId="270" priority="282">
      <formula>"="</formula>
    </cfRule>
  </conditionalFormatting>
  <conditionalFormatting sqref="F756">
    <cfRule type="expression" dxfId="269" priority="281">
      <formula>"="</formula>
    </cfRule>
  </conditionalFormatting>
  <conditionalFormatting sqref="F759">
    <cfRule type="expression" dxfId="268" priority="280">
      <formula>"="</formula>
    </cfRule>
  </conditionalFormatting>
  <conditionalFormatting sqref="F761">
    <cfRule type="expression" dxfId="267" priority="279">
      <formula>"="</formula>
    </cfRule>
  </conditionalFormatting>
  <conditionalFormatting sqref="F757">
    <cfRule type="expression" dxfId="266" priority="278">
      <formula>"="</formula>
    </cfRule>
  </conditionalFormatting>
  <conditionalFormatting sqref="F740">
    <cfRule type="expression" dxfId="265" priority="277">
      <formula>"="</formula>
    </cfRule>
  </conditionalFormatting>
  <conditionalFormatting sqref="F732">
    <cfRule type="expression" dxfId="264" priority="276">
      <formula>"="</formula>
    </cfRule>
  </conditionalFormatting>
  <conditionalFormatting sqref="F717">
    <cfRule type="expression" dxfId="263" priority="275">
      <formula>"="</formula>
    </cfRule>
  </conditionalFormatting>
  <conditionalFormatting sqref="F768">
    <cfRule type="expression" dxfId="262" priority="274">
      <formula>"="</formula>
    </cfRule>
  </conditionalFormatting>
  <conditionalFormatting sqref="F770">
    <cfRule type="expression" dxfId="261" priority="273">
      <formula>"="</formula>
    </cfRule>
  </conditionalFormatting>
  <conditionalFormatting sqref="F782">
    <cfRule type="expression" dxfId="260" priority="272">
      <formula>"="</formula>
    </cfRule>
  </conditionalFormatting>
  <conditionalFormatting sqref="F785">
    <cfRule type="expression" dxfId="259" priority="271">
      <formula>"="</formula>
    </cfRule>
  </conditionalFormatting>
  <conditionalFormatting sqref="F788">
    <cfRule type="expression" dxfId="258" priority="270">
      <formula>"="</formula>
    </cfRule>
  </conditionalFormatting>
  <conditionalFormatting sqref="F791">
    <cfRule type="expression" dxfId="257" priority="269">
      <formula>"="</formula>
    </cfRule>
  </conditionalFormatting>
  <conditionalFormatting sqref="F794">
    <cfRule type="expression" dxfId="256" priority="268">
      <formula>"="</formula>
    </cfRule>
  </conditionalFormatting>
  <conditionalFormatting sqref="F797">
    <cfRule type="expression" dxfId="255" priority="267">
      <formula>"="</formula>
    </cfRule>
  </conditionalFormatting>
  <conditionalFormatting sqref="F800">
    <cfRule type="expression" dxfId="254" priority="266">
      <formula>"="</formula>
    </cfRule>
  </conditionalFormatting>
  <conditionalFormatting sqref="F803">
    <cfRule type="expression" dxfId="253" priority="265">
      <formula>"="</formula>
    </cfRule>
  </conditionalFormatting>
  <conditionalFormatting sqref="F783">
    <cfRule type="expression" dxfId="252" priority="264">
      <formula>"="</formula>
    </cfRule>
  </conditionalFormatting>
  <conditionalFormatting sqref="F786">
    <cfRule type="expression" dxfId="251" priority="263">
      <formula>"="</formula>
    </cfRule>
  </conditionalFormatting>
  <conditionalFormatting sqref="F789">
    <cfRule type="expression" dxfId="250" priority="262">
      <formula>"="</formula>
    </cfRule>
  </conditionalFormatting>
  <conditionalFormatting sqref="F792">
    <cfRule type="expression" dxfId="249" priority="261">
      <formula>"="</formula>
    </cfRule>
  </conditionalFormatting>
  <conditionalFormatting sqref="F795">
    <cfRule type="expression" dxfId="248" priority="260">
      <formula>"="</formula>
    </cfRule>
  </conditionalFormatting>
  <conditionalFormatting sqref="F798">
    <cfRule type="expression" dxfId="247" priority="259">
      <formula>"="</formula>
    </cfRule>
  </conditionalFormatting>
  <conditionalFormatting sqref="F801">
    <cfRule type="expression" dxfId="246" priority="258">
      <formula>"="</formula>
    </cfRule>
  </conditionalFormatting>
  <conditionalFormatting sqref="F772">
    <cfRule type="expression" dxfId="245" priority="257">
      <formula>"="</formula>
    </cfRule>
  </conditionalFormatting>
  <conditionalFormatting sqref="F774">
    <cfRule type="expression" dxfId="244" priority="256">
      <formula>"="</formula>
    </cfRule>
  </conditionalFormatting>
  <conditionalFormatting sqref="F775">
    <cfRule type="expression" dxfId="243" priority="255">
      <formula>"="</formula>
    </cfRule>
  </conditionalFormatting>
  <conditionalFormatting sqref="F776">
    <cfRule type="expression" dxfId="242" priority="254">
      <formula>"="</formula>
    </cfRule>
  </conditionalFormatting>
  <conditionalFormatting sqref="F777">
    <cfRule type="expression" dxfId="241" priority="253">
      <formula>"="</formula>
    </cfRule>
  </conditionalFormatting>
  <conditionalFormatting sqref="F778">
    <cfRule type="expression" dxfId="240" priority="252">
      <formula>"="</formula>
    </cfRule>
  </conditionalFormatting>
  <conditionalFormatting sqref="F779">
    <cfRule type="expression" dxfId="239" priority="251">
      <formula>"="</formula>
    </cfRule>
  </conditionalFormatting>
  <conditionalFormatting sqref="F780">
    <cfRule type="expression" dxfId="238" priority="250">
      <formula>"="</formula>
    </cfRule>
  </conditionalFormatting>
  <conditionalFormatting sqref="F781">
    <cfRule type="expression" dxfId="237" priority="249">
      <formula>"="</formula>
    </cfRule>
  </conditionalFormatting>
  <conditionalFormatting sqref="F784">
    <cfRule type="expression" dxfId="236" priority="248">
      <formula>"="</formula>
    </cfRule>
  </conditionalFormatting>
  <conditionalFormatting sqref="F787">
    <cfRule type="expression" dxfId="235" priority="247">
      <formula>"="</formula>
    </cfRule>
  </conditionalFormatting>
  <conditionalFormatting sqref="F790">
    <cfRule type="expression" dxfId="234" priority="246">
      <formula>"="</formula>
    </cfRule>
  </conditionalFormatting>
  <conditionalFormatting sqref="F793">
    <cfRule type="expression" dxfId="233" priority="245">
      <formula>"="</formula>
    </cfRule>
  </conditionalFormatting>
  <conditionalFormatting sqref="F796">
    <cfRule type="expression" dxfId="232" priority="244">
      <formula>"="</formula>
    </cfRule>
  </conditionalFormatting>
  <conditionalFormatting sqref="F799">
    <cfRule type="expression" dxfId="231" priority="243">
      <formula>"="</formula>
    </cfRule>
  </conditionalFormatting>
  <conditionalFormatting sqref="F802">
    <cfRule type="expression" dxfId="230" priority="242">
      <formula>"="</formula>
    </cfRule>
  </conditionalFormatting>
  <conditionalFormatting sqref="F771">
    <cfRule type="expression" dxfId="229" priority="241">
      <formula>"="</formula>
    </cfRule>
  </conditionalFormatting>
  <conditionalFormatting sqref="F773">
    <cfRule type="expression" dxfId="228" priority="240">
      <formula>"="</formula>
    </cfRule>
  </conditionalFormatting>
  <conditionalFormatting sqref="F769">
    <cfRule type="expression" dxfId="227" priority="239">
      <formula>"="</formula>
    </cfRule>
  </conditionalFormatting>
  <conditionalFormatting sqref="F806">
    <cfRule type="expression" dxfId="226" priority="238">
      <formula>"="</formula>
    </cfRule>
  </conditionalFormatting>
  <conditionalFormatting sqref="F809">
    <cfRule type="expression" dxfId="225" priority="237">
      <formula>"="</formula>
    </cfRule>
  </conditionalFormatting>
  <conditionalFormatting sqref="F804">
    <cfRule type="expression" dxfId="224" priority="236">
      <formula>"="</formula>
    </cfRule>
  </conditionalFormatting>
  <conditionalFormatting sqref="F807">
    <cfRule type="expression" dxfId="223" priority="235">
      <formula>"="</formula>
    </cfRule>
  </conditionalFormatting>
  <conditionalFormatting sqref="F810">
    <cfRule type="expression" dxfId="222" priority="234">
      <formula>"="</formula>
    </cfRule>
  </conditionalFormatting>
  <conditionalFormatting sqref="F811">
    <cfRule type="expression" dxfId="221" priority="233">
      <formula>"="</formula>
    </cfRule>
  </conditionalFormatting>
  <conditionalFormatting sqref="F812">
    <cfRule type="expression" dxfId="220" priority="232">
      <formula>"="</formula>
    </cfRule>
  </conditionalFormatting>
  <conditionalFormatting sqref="F813">
    <cfRule type="expression" dxfId="219" priority="231">
      <formula>"="</formula>
    </cfRule>
  </conditionalFormatting>
  <conditionalFormatting sqref="F814 F826:F828">
    <cfRule type="expression" dxfId="218" priority="230">
      <formula>"="</formula>
    </cfRule>
  </conditionalFormatting>
  <conditionalFormatting sqref="F805">
    <cfRule type="expression" dxfId="217" priority="229">
      <formula>"="</formula>
    </cfRule>
  </conditionalFormatting>
  <conditionalFormatting sqref="F808">
    <cfRule type="expression" dxfId="216" priority="228">
      <formula>"="</formula>
    </cfRule>
  </conditionalFormatting>
  <conditionalFormatting sqref="F923">
    <cfRule type="expression" dxfId="215" priority="222">
      <formula>"="</formula>
    </cfRule>
  </conditionalFormatting>
  <conditionalFormatting sqref="F910">
    <cfRule type="expression" dxfId="214" priority="224">
      <formula>"="</formula>
    </cfRule>
  </conditionalFormatting>
  <conditionalFormatting sqref="F896">
    <cfRule type="expression" dxfId="213" priority="227">
      <formula>"="</formula>
    </cfRule>
  </conditionalFormatting>
  <conditionalFormatting sqref="F898">
    <cfRule type="expression" dxfId="212" priority="226">
      <formula>"="</formula>
    </cfRule>
  </conditionalFormatting>
  <conditionalFormatting sqref="F908">
    <cfRule type="expression" dxfId="211" priority="225">
      <formula>"="</formula>
    </cfRule>
  </conditionalFormatting>
  <conditionalFormatting sqref="F921">
    <cfRule type="expression" dxfId="210" priority="223">
      <formula>"="</formula>
    </cfRule>
  </conditionalFormatting>
  <conditionalFormatting sqref="F922">
    <cfRule type="expression" dxfId="209" priority="221">
      <formula>"="</formula>
    </cfRule>
  </conditionalFormatting>
  <conditionalFormatting sqref="F901">
    <cfRule type="expression" dxfId="208" priority="220">
      <formula>"="</formula>
    </cfRule>
  </conditionalFormatting>
  <conditionalFormatting sqref="F902">
    <cfRule type="expression" dxfId="207" priority="219">
      <formula>"="</formula>
    </cfRule>
  </conditionalFormatting>
  <conditionalFormatting sqref="F904">
    <cfRule type="expression" dxfId="206" priority="217">
      <formula>"="</formula>
    </cfRule>
  </conditionalFormatting>
  <conditionalFormatting sqref="F905">
    <cfRule type="expression" dxfId="205" priority="216">
      <formula>"="</formula>
    </cfRule>
  </conditionalFormatting>
  <conditionalFormatting sqref="F906">
    <cfRule type="expression" dxfId="204" priority="215">
      <formula>"="</formula>
    </cfRule>
  </conditionalFormatting>
  <conditionalFormatting sqref="F907">
    <cfRule type="expression" dxfId="203" priority="214">
      <formula>"="</formula>
    </cfRule>
  </conditionalFormatting>
  <conditionalFormatting sqref="F899">
    <cfRule type="expression" dxfId="202" priority="213">
      <formula>"="</formula>
    </cfRule>
  </conditionalFormatting>
  <conditionalFormatting sqref="F900">
    <cfRule type="expression" dxfId="201" priority="212">
      <formula>"="</formula>
    </cfRule>
  </conditionalFormatting>
  <conditionalFormatting sqref="F911">
    <cfRule type="expression" dxfId="200" priority="211">
      <formula>"="</formula>
    </cfRule>
  </conditionalFormatting>
  <conditionalFormatting sqref="F912">
    <cfRule type="expression" dxfId="199" priority="210">
      <formula>"="</formula>
    </cfRule>
  </conditionalFormatting>
  <conditionalFormatting sqref="F913">
    <cfRule type="expression" dxfId="198" priority="209">
      <formula>"="</formula>
    </cfRule>
  </conditionalFormatting>
  <conditionalFormatting sqref="F914">
    <cfRule type="expression" dxfId="197" priority="208">
      <formula>"="</formula>
    </cfRule>
  </conditionalFormatting>
  <conditionalFormatting sqref="F915">
    <cfRule type="expression" dxfId="196" priority="207">
      <formula>"="</formula>
    </cfRule>
  </conditionalFormatting>
  <conditionalFormatting sqref="F916">
    <cfRule type="expression" dxfId="195" priority="206">
      <formula>"="</formula>
    </cfRule>
  </conditionalFormatting>
  <conditionalFormatting sqref="F917">
    <cfRule type="expression" dxfId="194" priority="205">
      <formula>"="</formula>
    </cfRule>
  </conditionalFormatting>
  <conditionalFormatting sqref="F918">
    <cfRule type="expression" dxfId="193" priority="204">
      <formula>"="</formula>
    </cfRule>
  </conditionalFormatting>
  <conditionalFormatting sqref="F919">
    <cfRule type="expression" dxfId="192" priority="203">
      <formula>"="</formula>
    </cfRule>
  </conditionalFormatting>
  <conditionalFormatting sqref="F920">
    <cfRule type="expression" dxfId="191" priority="202">
      <formula>"="</formula>
    </cfRule>
  </conditionalFormatting>
  <conditionalFormatting sqref="F935">
    <cfRule type="expression" dxfId="190" priority="200">
      <formula>"="</formula>
    </cfRule>
  </conditionalFormatting>
  <conditionalFormatting sqref="F924">
    <cfRule type="expression" dxfId="189" priority="199">
      <formula>"="</formula>
    </cfRule>
  </conditionalFormatting>
  <conditionalFormatting sqref="F925">
    <cfRule type="expression" dxfId="188" priority="198">
      <formula>"="</formula>
    </cfRule>
  </conditionalFormatting>
  <conditionalFormatting sqref="F926">
    <cfRule type="expression" dxfId="187" priority="197">
      <formula>"="</formula>
    </cfRule>
  </conditionalFormatting>
  <conditionalFormatting sqref="F927">
    <cfRule type="expression" dxfId="186" priority="196">
      <formula>"="</formula>
    </cfRule>
  </conditionalFormatting>
  <conditionalFormatting sqref="F928">
    <cfRule type="expression" dxfId="185" priority="195">
      <formula>"="</formula>
    </cfRule>
  </conditionalFormatting>
  <conditionalFormatting sqref="F941">
    <cfRule type="expression" dxfId="184" priority="182">
      <formula>"="</formula>
    </cfRule>
  </conditionalFormatting>
  <conditionalFormatting sqref="I199">
    <cfRule type="expression" dxfId="183" priority="180">
      <formula>"="</formula>
    </cfRule>
  </conditionalFormatting>
  <conditionalFormatting sqref="I208">
    <cfRule type="expression" dxfId="182" priority="179">
      <formula>"="</formula>
    </cfRule>
  </conditionalFormatting>
  <conditionalFormatting sqref="I216">
    <cfRule type="expression" dxfId="181" priority="178">
      <formula>"="</formula>
    </cfRule>
  </conditionalFormatting>
  <conditionalFormatting sqref="B816:B825">
    <cfRule type="expression" dxfId="180" priority="177">
      <formula>"="</formula>
    </cfRule>
  </conditionalFormatting>
  <conditionalFormatting sqref="B816:B825">
    <cfRule type="expression" dxfId="179" priority="176">
      <formula>"="</formula>
    </cfRule>
  </conditionalFormatting>
  <conditionalFormatting sqref="G815:H816">
    <cfRule type="expression" dxfId="178" priority="175">
      <formula>"="</formula>
    </cfRule>
  </conditionalFormatting>
  <conditionalFormatting sqref="D815">
    <cfRule type="expression" dxfId="177" priority="174">
      <formula>"="</formula>
    </cfRule>
  </conditionalFormatting>
  <conditionalFormatting sqref="I815">
    <cfRule type="expression" dxfId="176" priority="173">
      <formula>"="</formula>
    </cfRule>
  </conditionalFormatting>
  <conditionalFormatting sqref="D816">
    <cfRule type="expression" dxfId="175" priority="172">
      <formula>"="</formula>
    </cfRule>
  </conditionalFormatting>
  <conditionalFormatting sqref="I816">
    <cfRule type="expression" dxfId="174" priority="171">
      <formula>"="</formula>
    </cfRule>
  </conditionalFormatting>
  <conditionalFormatting sqref="C816">
    <cfRule type="expression" dxfId="173" priority="170">
      <formula>"="</formula>
    </cfRule>
  </conditionalFormatting>
  <conditionalFormatting sqref="C815">
    <cfRule type="expression" dxfId="172" priority="169">
      <formula>"="</formula>
    </cfRule>
  </conditionalFormatting>
  <conditionalFormatting sqref="E815">
    <cfRule type="expression" dxfId="171" priority="168">
      <formula>"="</formula>
    </cfRule>
  </conditionalFormatting>
  <conditionalFormatting sqref="E816">
    <cfRule type="expression" dxfId="170" priority="167">
      <formula>"="</formula>
    </cfRule>
  </conditionalFormatting>
  <conditionalFormatting sqref="F815">
    <cfRule type="expression" dxfId="169" priority="166">
      <formula>"="</formula>
    </cfRule>
  </conditionalFormatting>
  <conditionalFormatting sqref="F816">
    <cfRule type="expression" dxfId="168" priority="165">
      <formula>"="</formula>
    </cfRule>
  </conditionalFormatting>
  <conditionalFormatting sqref="E820:E822 G817:I822">
    <cfRule type="expression" dxfId="167" priority="164">
      <formula>"="</formula>
    </cfRule>
  </conditionalFormatting>
  <conditionalFormatting sqref="D817:D822">
    <cfRule type="expression" dxfId="166" priority="163">
      <formula>"="</formula>
    </cfRule>
  </conditionalFormatting>
  <conditionalFormatting sqref="C817:C822">
    <cfRule type="expression" dxfId="165" priority="162">
      <formula>"="</formula>
    </cfRule>
  </conditionalFormatting>
  <conditionalFormatting sqref="E817:E819">
    <cfRule type="expression" dxfId="164" priority="161">
      <formula>"="</formula>
    </cfRule>
  </conditionalFormatting>
  <conditionalFormatting sqref="F817">
    <cfRule type="expression" dxfId="163" priority="160">
      <formula>"="</formula>
    </cfRule>
  </conditionalFormatting>
  <conditionalFormatting sqref="F819">
    <cfRule type="expression" dxfId="162" priority="159">
      <formula>"="</formula>
    </cfRule>
  </conditionalFormatting>
  <conditionalFormatting sqref="F821">
    <cfRule type="expression" dxfId="161" priority="158">
      <formula>"="</formula>
    </cfRule>
  </conditionalFormatting>
  <conditionalFormatting sqref="F822">
    <cfRule type="expression" dxfId="160" priority="157">
      <formula>"="</formula>
    </cfRule>
  </conditionalFormatting>
  <conditionalFormatting sqref="F818">
    <cfRule type="expression" dxfId="159" priority="156">
      <formula>"="</formula>
    </cfRule>
  </conditionalFormatting>
  <conditionalFormatting sqref="F820">
    <cfRule type="expression" dxfId="158" priority="155">
      <formula>"="</formula>
    </cfRule>
  </conditionalFormatting>
  <conditionalFormatting sqref="E823:E825 G823:I825 H826:H842">
    <cfRule type="expression" dxfId="157" priority="154">
      <formula>"="</formula>
    </cfRule>
  </conditionalFormatting>
  <conditionalFormatting sqref="D823:D825">
    <cfRule type="expression" dxfId="156" priority="153">
      <formula>"="</formula>
    </cfRule>
  </conditionalFormatting>
  <conditionalFormatting sqref="C823:C843">
    <cfRule type="expression" dxfId="155" priority="152">
      <formula>"="</formula>
    </cfRule>
  </conditionalFormatting>
  <conditionalFormatting sqref="F823">
    <cfRule type="expression" dxfId="154" priority="151">
      <formula>"="</formula>
    </cfRule>
  </conditionalFormatting>
  <conditionalFormatting sqref="F824">
    <cfRule type="expression" dxfId="153" priority="150">
      <formula>"="</formula>
    </cfRule>
  </conditionalFormatting>
  <conditionalFormatting sqref="F825">
    <cfRule type="expression" dxfId="152" priority="149">
      <formula>"="</formula>
    </cfRule>
  </conditionalFormatting>
  <conditionalFormatting sqref="G829:G842">
    <cfRule type="expression" dxfId="151" priority="148">
      <formula>"="</formula>
    </cfRule>
  </conditionalFormatting>
  <conditionalFormatting sqref="F829:F842">
    <cfRule type="expression" dxfId="150" priority="147">
      <formula>"="</formula>
    </cfRule>
  </conditionalFormatting>
  <conditionalFormatting sqref="E843 G844 G856:G870">
    <cfRule type="expression" dxfId="149" priority="146">
      <formula>"="</formula>
    </cfRule>
  </conditionalFormatting>
  <conditionalFormatting sqref="E844 E856:E870">
    <cfRule type="expression" dxfId="148" priority="145">
      <formula>"="</formula>
    </cfRule>
  </conditionalFormatting>
  <conditionalFormatting sqref="D844 D856:D870">
    <cfRule type="expression" dxfId="147" priority="144">
      <formula>"="</formula>
    </cfRule>
  </conditionalFormatting>
  <conditionalFormatting sqref="D843">
    <cfRule type="expression" dxfId="146" priority="143">
      <formula>"="</formula>
    </cfRule>
  </conditionalFormatting>
  <conditionalFormatting sqref="G843">
    <cfRule type="expression" dxfId="145" priority="142">
      <formula>"="</formula>
    </cfRule>
  </conditionalFormatting>
  <conditionalFormatting sqref="H843:H844">
    <cfRule type="expression" dxfId="144" priority="141">
      <formula>"="</formula>
    </cfRule>
  </conditionalFormatting>
  <conditionalFormatting sqref="F843">
    <cfRule type="expression" dxfId="143" priority="140">
      <formula>"="</formula>
    </cfRule>
  </conditionalFormatting>
  <conditionalFormatting sqref="F844 F856:F870">
    <cfRule type="expression" dxfId="142" priority="139">
      <formula>"="</formula>
    </cfRule>
  </conditionalFormatting>
  <conditionalFormatting sqref="B826:B843">
    <cfRule type="expression" dxfId="141" priority="138">
      <formula>"="</formula>
    </cfRule>
  </conditionalFormatting>
  <conditionalFormatting sqref="B826:B843">
    <cfRule type="expression" dxfId="140" priority="137">
      <formula>"="</formula>
    </cfRule>
  </conditionalFormatting>
  <conditionalFormatting sqref="C844:C870">
    <cfRule type="expression" dxfId="139" priority="134">
      <formula>"="</formula>
    </cfRule>
  </conditionalFormatting>
  <conditionalFormatting sqref="C871">
    <cfRule type="expression" dxfId="138" priority="97">
      <formula>"="</formula>
    </cfRule>
  </conditionalFormatting>
  <conditionalFormatting sqref="B844:B863 B872:B880">
    <cfRule type="expression" dxfId="137" priority="136">
      <formula>"="</formula>
    </cfRule>
  </conditionalFormatting>
  <conditionalFormatting sqref="I844:K844 J845:K855 I856:K870 I882:K882 J872:K881 J884:K894">
    <cfRule type="expression" dxfId="136" priority="135">
      <formula>"="</formula>
    </cfRule>
  </conditionalFormatting>
  <conditionalFormatting sqref="G845:H846">
    <cfRule type="expression" dxfId="135" priority="133">
      <formula>"="</formula>
    </cfRule>
  </conditionalFormatting>
  <conditionalFormatting sqref="D845">
    <cfRule type="expression" dxfId="134" priority="132">
      <formula>"="</formula>
    </cfRule>
  </conditionalFormatting>
  <conditionalFormatting sqref="I845">
    <cfRule type="expression" dxfId="133" priority="131">
      <formula>"="</formula>
    </cfRule>
  </conditionalFormatting>
  <conditionalFormatting sqref="D846">
    <cfRule type="expression" dxfId="132" priority="130">
      <formula>"="</formula>
    </cfRule>
  </conditionalFormatting>
  <conditionalFormatting sqref="I846">
    <cfRule type="expression" dxfId="131" priority="129">
      <formula>"="</formula>
    </cfRule>
  </conditionalFormatting>
  <conditionalFormatting sqref="E845">
    <cfRule type="expression" dxfId="130" priority="128">
      <formula>"="</formula>
    </cfRule>
  </conditionalFormatting>
  <conditionalFormatting sqref="E846">
    <cfRule type="expression" dxfId="129" priority="127">
      <formula>"="</formula>
    </cfRule>
  </conditionalFormatting>
  <conditionalFormatting sqref="F845">
    <cfRule type="expression" dxfId="128" priority="126">
      <formula>"="</formula>
    </cfRule>
  </conditionalFormatting>
  <conditionalFormatting sqref="F846">
    <cfRule type="expression" dxfId="127" priority="125">
      <formula>"="</formula>
    </cfRule>
  </conditionalFormatting>
  <conditionalFormatting sqref="E850:E852 G847:I852">
    <cfRule type="expression" dxfId="126" priority="124">
      <formula>"="</formula>
    </cfRule>
  </conditionalFormatting>
  <conditionalFormatting sqref="D847:D852">
    <cfRule type="expression" dxfId="125" priority="123">
      <formula>"="</formula>
    </cfRule>
  </conditionalFormatting>
  <conditionalFormatting sqref="E847:E849">
    <cfRule type="expression" dxfId="124" priority="122">
      <formula>"="</formula>
    </cfRule>
  </conditionalFormatting>
  <conditionalFormatting sqref="F847">
    <cfRule type="expression" dxfId="123" priority="121">
      <formula>"="</formula>
    </cfRule>
  </conditionalFormatting>
  <conditionalFormatting sqref="F849">
    <cfRule type="expression" dxfId="122" priority="120">
      <formula>"="</formula>
    </cfRule>
  </conditionalFormatting>
  <conditionalFormatting sqref="F851">
    <cfRule type="expression" dxfId="121" priority="119">
      <formula>"="</formula>
    </cfRule>
  </conditionalFormatting>
  <conditionalFormatting sqref="F852">
    <cfRule type="expression" dxfId="120" priority="118">
      <formula>"="</formula>
    </cfRule>
  </conditionalFormatting>
  <conditionalFormatting sqref="F848">
    <cfRule type="expression" dxfId="119" priority="117">
      <formula>"="</formula>
    </cfRule>
  </conditionalFormatting>
  <conditionalFormatting sqref="F850">
    <cfRule type="expression" dxfId="118" priority="116">
      <formula>"="</formula>
    </cfRule>
  </conditionalFormatting>
  <conditionalFormatting sqref="E853:E855 G853:I855 H856:H870">
    <cfRule type="expression" dxfId="117" priority="115">
      <formula>"="</formula>
    </cfRule>
  </conditionalFormatting>
  <conditionalFormatting sqref="D853:D855">
    <cfRule type="expression" dxfId="116" priority="114">
      <formula>"="</formula>
    </cfRule>
  </conditionalFormatting>
  <conditionalFormatting sqref="F853">
    <cfRule type="expression" dxfId="115" priority="113">
      <formula>"="</formula>
    </cfRule>
  </conditionalFormatting>
  <conditionalFormatting sqref="F854">
    <cfRule type="expression" dxfId="114" priority="112">
      <formula>"="</formula>
    </cfRule>
  </conditionalFormatting>
  <conditionalFormatting sqref="F855">
    <cfRule type="expression" dxfId="113" priority="111">
      <formula>"="</formula>
    </cfRule>
  </conditionalFormatting>
  <conditionalFormatting sqref="H871">
    <cfRule type="expression" dxfId="112" priority="101">
      <formula>"="</formula>
    </cfRule>
  </conditionalFormatting>
  <conditionalFormatting sqref="F871">
    <cfRule type="expression" dxfId="111" priority="100">
      <formula>"="</formula>
    </cfRule>
  </conditionalFormatting>
  <conditionalFormatting sqref="B864:B870">
    <cfRule type="expression" dxfId="110" priority="105">
      <formula>"="</formula>
    </cfRule>
  </conditionalFormatting>
  <conditionalFormatting sqref="G871">
    <cfRule type="expression" dxfId="109" priority="104">
      <formula>"="</formula>
    </cfRule>
  </conditionalFormatting>
  <conditionalFormatting sqref="E871">
    <cfRule type="expression" dxfId="108" priority="103">
      <formula>"="</formula>
    </cfRule>
  </conditionalFormatting>
  <conditionalFormatting sqref="D871">
    <cfRule type="expression" dxfId="107" priority="102">
      <formula>"="</formula>
    </cfRule>
  </conditionalFormatting>
  <conditionalFormatting sqref="B871">
    <cfRule type="expression" dxfId="106" priority="99">
      <formula>"="</formula>
    </cfRule>
  </conditionalFormatting>
  <conditionalFormatting sqref="I871:K871">
    <cfRule type="expression" dxfId="105" priority="98">
      <formula>"="</formula>
    </cfRule>
  </conditionalFormatting>
  <conditionalFormatting sqref="C872:C880 C882">
    <cfRule type="expression" dxfId="104" priority="96">
      <formula>"="</formula>
    </cfRule>
  </conditionalFormatting>
  <conditionalFormatting sqref="G872:H873">
    <cfRule type="expression" dxfId="103" priority="95">
      <formula>"="</formula>
    </cfRule>
  </conditionalFormatting>
  <conditionalFormatting sqref="D872">
    <cfRule type="expression" dxfId="102" priority="94">
      <formula>"="</formula>
    </cfRule>
  </conditionalFormatting>
  <conditionalFormatting sqref="I872">
    <cfRule type="expression" dxfId="101" priority="93">
      <formula>"="</formula>
    </cfRule>
  </conditionalFormatting>
  <conditionalFormatting sqref="D873">
    <cfRule type="expression" dxfId="100" priority="92">
      <formula>"="</formula>
    </cfRule>
  </conditionalFormatting>
  <conditionalFormatting sqref="I873">
    <cfRule type="expression" dxfId="99" priority="91">
      <formula>"="</formula>
    </cfRule>
  </conditionalFormatting>
  <conditionalFormatting sqref="E872">
    <cfRule type="expression" dxfId="98" priority="90">
      <formula>"="</formula>
    </cfRule>
  </conditionalFormatting>
  <conditionalFormatting sqref="E873">
    <cfRule type="expression" dxfId="97" priority="89">
      <formula>"="</formula>
    </cfRule>
  </conditionalFormatting>
  <conditionalFormatting sqref="F872">
    <cfRule type="expression" dxfId="96" priority="88">
      <formula>"="</formula>
    </cfRule>
  </conditionalFormatting>
  <conditionalFormatting sqref="F873">
    <cfRule type="expression" dxfId="95" priority="87">
      <formula>"="</formula>
    </cfRule>
  </conditionalFormatting>
  <conditionalFormatting sqref="E877:E879 G874:I879">
    <cfRule type="expression" dxfId="94" priority="86">
      <formula>"="</formula>
    </cfRule>
  </conditionalFormatting>
  <conditionalFormatting sqref="D874:D879">
    <cfRule type="expression" dxfId="93" priority="85">
      <formula>"="</formula>
    </cfRule>
  </conditionalFormatting>
  <conditionalFormatting sqref="E874:E876">
    <cfRule type="expression" dxfId="92" priority="84">
      <formula>"="</formula>
    </cfRule>
  </conditionalFormatting>
  <conditionalFormatting sqref="F874">
    <cfRule type="expression" dxfId="91" priority="83">
      <formula>"="</formula>
    </cfRule>
  </conditionalFormatting>
  <conditionalFormatting sqref="F876">
    <cfRule type="expression" dxfId="90" priority="82">
      <formula>"="</formula>
    </cfRule>
  </conditionalFormatting>
  <conditionalFormatting sqref="F878">
    <cfRule type="expression" dxfId="89" priority="81">
      <formula>"="</formula>
    </cfRule>
  </conditionalFormatting>
  <conditionalFormatting sqref="F879">
    <cfRule type="expression" dxfId="88" priority="80">
      <formula>"="</formula>
    </cfRule>
  </conditionalFormatting>
  <conditionalFormatting sqref="F875">
    <cfRule type="expression" dxfId="87" priority="79">
      <formula>"="</formula>
    </cfRule>
  </conditionalFormatting>
  <conditionalFormatting sqref="F877">
    <cfRule type="expression" dxfId="86" priority="78">
      <formula>"="</formula>
    </cfRule>
  </conditionalFormatting>
  <conditionalFormatting sqref="E880 G880:I880 H881:H882">
    <cfRule type="expression" dxfId="85" priority="77">
      <formula>"="</formula>
    </cfRule>
  </conditionalFormatting>
  <conditionalFormatting sqref="D880">
    <cfRule type="expression" dxfId="84" priority="76">
      <formula>"="</formula>
    </cfRule>
  </conditionalFormatting>
  <conditionalFormatting sqref="F880">
    <cfRule type="expression" dxfId="83" priority="75">
      <formula>"="</formula>
    </cfRule>
  </conditionalFormatting>
  <conditionalFormatting sqref="G882">
    <cfRule type="expression" dxfId="82" priority="74">
      <formula>"="</formula>
    </cfRule>
  </conditionalFormatting>
  <conditionalFormatting sqref="E882">
    <cfRule type="expression" dxfId="81" priority="73">
      <formula>"="</formula>
    </cfRule>
  </conditionalFormatting>
  <conditionalFormatting sqref="D882">
    <cfRule type="expression" dxfId="80" priority="72">
      <formula>"="</formula>
    </cfRule>
  </conditionalFormatting>
  <conditionalFormatting sqref="F882">
    <cfRule type="expression" dxfId="79" priority="71">
      <formula>"="</formula>
    </cfRule>
  </conditionalFormatting>
  <conditionalFormatting sqref="H895">
    <cfRule type="expression" dxfId="78" priority="19">
      <formula>"="</formula>
    </cfRule>
  </conditionalFormatting>
  <conditionalFormatting sqref="C883">
    <cfRule type="expression" dxfId="77" priority="55">
      <formula>"="</formula>
    </cfRule>
  </conditionalFormatting>
  <conditionalFormatting sqref="B882">
    <cfRule type="expression" dxfId="76" priority="54">
      <formula>"="</formula>
    </cfRule>
  </conditionalFormatting>
  <conditionalFormatting sqref="I895">
    <cfRule type="expression" dxfId="75" priority="17">
      <formula>"="</formula>
    </cfRule>
  </conditionalFormatting>
  <conditionalFormatting sqref="C895">
    <cfRule type="expression" dxfId="74" priority="16">
      <formula>"="</formula>
    </cfRule>
  </conditionalFormatting>
  <conditionalFormatting sqref="F889">
    <cfRule type="expression" dxfId="73" priority="33">
      <formula>"="</formula>
    </cfRule>
  </conditionalFormatting>
  <conditionalFormatting sqref="E892 G892:I892 H893:H894">
    <cfRule type="expression" dxfId="72" priority="32">
      <formula>"="</formula>
    </cfRule>
  </conditionalFormatting>
  <conditionalFormatting sqref="H883">
    <cfRule type="expression" dxfId="71" priority="59">
      <formula>"="</formula>
    </cfRule>
  </conditionalFormatting>
  <conditionalFormatting sqref="F883">
    <cfRule type="expression" dxfId="70" priority="58">
      <formula>"="</formula>
    </cfRule>
  </conditionalFormatting>
  <conditionalFormatting sqref="G883">
    <cfRule type="expression" dxfId="69" priority="62">
      <formula>"="</formula>
    </cfRule>
  </conditionalFormatting>
  <conditionalFormatting sqref="E883">
    <cfRule type="expression" dxfId="68" priority="61">
      <formula>"="</formula>
    </cfRule>
  </conditionalFormatting>
  <conditionalFormatting sqref="D883">
    <cfRule type="expression" dxfId="67" priority="60">
      <formula>"="</formula>
    </cfRule>
  </conditionalFormatting>
  <conditionalFormatting sqref="B895">
    <cfRule type="expression" dxfId="66" priority="14">
      <formula>"="</formula>
    </cfRule>
  </conditionalFormatting>
  <conditionalFormatting sqref="I883:K883">
    <cfRule type="expression" dxfId="65" priority="56">
      <formula>"="</formula>
    </cfRule>
  </conditionalFormatting>
  <conditionalFormatting sqref="D892">
    <cfRule type="expression" dxfId="64" priority="31">
      <formula>"="</formula>
    </cfRule>
  </conditionalFormatting>
  <conditionalFormatting sqref="B883">
    <cfRule type="expression" dxfId="63" priority="53">
      <formula>"="</formula>
    </cfRule>
  </conditionalFormatting>
  <conditionalFormatting sqref="B884:B886">
    <cfRule type="expression" dxfId="62" priority="52">
      <formula>"="</formula>
    </cfRule>
  </conditionalFormatting>
  <conditionalFormatting sqref="C884:C892 C894">
    <cfRule type="expression" dxfId="61" priority="51">
      <formula>"="</formula>
    </cfRule>
  </conditionalFormatting>
  <conditionalFormatting sqref="G884:H885">
    <cfRule type="expression" dxfId="60" priority="50">
      <formula>"="</formula>
    </cfRule>
  </conditionalFormatting>
  <conditionalFormatting sqref="D884">
    <cfRule type="expression" dxfId="59" priority="49">
      <formula>"="</formula>
    </cfRule>
  </conditionalFormatting>
  <conditionalFormatting sqref="I884">
    <cfRule type="expression" dxfId="58" priority="48">
      <formula>"="</formula>
    </cfRule>
  </conditionalFormatting>
  <conditionalFormatting sqref="D885">
    <cfRule type="expression" dxfId="57" priority="47">
      <formula>"="</formula>
    </cfRule>
  </conditionalFormatting>
  <conditionalFormatting sqref="I885">
    <cfRule type="expression" dxfId="56" priority="46">
      <formula>"="</formula>
    </cfRule>
  </conditionalFormatting>
  <conditionalFormatting sqref="E884">
    <cfRule type="expression" dxfId="55" priority="45">
      <formula>"="</formula>
    </cfRule>
  </conditionalFormatting>
  <conditionalFormatting sqref="E885">
    <cfRule type="expression" dxfId="54" priority="44">
      <formula>"="</formula>
    </cfRule>
  </conditionalFormatting>
  <conditionalFormatting sqref="F884">
    <cfRule type="expression" dxfId="53" priority="43">
      <formula>"="</formula>
    </cfRule>
  </conditionalFormatting>
  <conditionalFormatting sqref="F885">
    <cfRule type="expression" dxfId="52" priority="42">
      <formula>"="</formula>
    </cfRule>
  </conditionalFormatting>
  <conditionalFormatting sqref="E889:E891 G886:I891">
    <cfRule type="expression" dxfId="51" priority="41">
      <formula>"="</formula>
    </cfRule>
  </conditionalFormatting>
  <conditionalFormatting sqref="D886:D891">
    <cfRule type="expression" dxfId="50" priority="40">
      <formula>"="</formula>
    </cfRule>
  </conditionalFormatting>
  <conditionalFormatting sqref="E886:E888">
    <cfRule type="expression" dxfId="49" priority="39">
      <formula>"="</formula>
    </cfRule>
  </conditionalFormatting>
  <conditionalFormatting sqref="F886">
    <cfRule type="expression" dxfId="48" priority="38">
      <formula>"="</formula>
    </cfRule>
  </conditionalFormatting>
  <conditionalFormatting sqref="F888">
    <cfRule type="expression" dxfId="47" priority="37">
      <formula>"="</formula>
    </cfRule>
  </conditionalFormatting>
  <conditionalFormatting sqref="F890">
    <cfRule type="expression" dxfId="46" priority="36">
      <formula>"="</formula>
    </cfRule>
  </conditionalFormatting>
  <conditionalFormatting sqref="F891">
    <cfRule type="expression" dxfId="45" priority="35">
      <formula>"="</formula>
    </cfRule>
  </conditionalFormatting>
  <conditionalFormatting sqref="F887">
    <cfRule type="expression" dxfId="44" priority="34">
      <formula>"="</formula>
    </cfRule>
  </conditionalFormatting>
  <conditionalFormatting sqref="F892">
    <cfRule type="expression" dxfId="43" priority="30">
      <formula>"="</formula>
    </cfRule>
  </conditionalFormatting>
  <conditionalFormatting sqref="I894">
    <cfRule type="expression" dxfId="42" priority="29">
      <formula>"="</formula>
    </cfRule>
  </conditionalFormatting>
  <conditionalFormatting sqref="G894">
    <cfRule type="expression" dxfId="41" priority="27">
      <formula>"="</formula>
    </cfRule>
  </conditionalFormatting>
  <conditionalFormatting sqref="E894">
    <cfRule type="expression" dxfId="40" priority="26">
      <formula>"="</formula>
    </cfRule>
  </conditionalFormatting>
  <conditionalFormatting sqref="D894">
    <cfRule type="expression" dxfId="39" priority="25">
      <formula>"="</formula>
    </cfRule>
  </conditionalFormatting>
  <conditionalFormatting sqref="F894">
    <cfRule type="expression" dxfId="38" priority="24">
      <formula>"="</formula>
    </cfRule>
  </conditionalFormatting>
  <conditionalFormatting sqref="F895">
    <cfRule type="expression" dxfId="37" priority="18">
      <formula>"="</formula>
    </cfRule>
  </conditionalFormatting>
  <conditionalFormatting sqref="G895">
    <cfRule type="expression" dxfId="36" priority="22">
      <formula>"="</formula>
    </cfRule>
  </conditionalFormatting>
  <conditionalFormatting sqref="E895">
    <cfRule type="expression" dxfId="35" priority="21">
      <formula>"="</formula>
    </cfRule>
  </conditionalFormatting>
  <conditionalFormatting sqref="D895">
    <cfRule type="expression" dxfId="34" priority="20">
      <formula>"="</formula>
    </cfRule>
  </conditionalFormatting>
  <conditionalFormatting sqref="J895:K895">
    <cfRule type="expression" dxfId="33" priority="13">
      <formula>"="</formula>
    </cfRule>
  </conditionalFormatting>
  <conditionalFormatting sqref="B887:B892 B894">
    <cfRule type="expression" dxfId="32" priority="12">
      <formula>"="</formula>
    </cfRule>
  </conditionalFormatting>
  <conditionalFormatting sqref="C881">
    <cfRule type="expression" dxfId="31" priority="11">
      <formula>"="</formula>
    </cfRule>
  </conditionalFormatting>
  <conditionalFormatting sqref="E881 G881 I881">
    <cfRule type="expression" dxfId="30" priority="10">
      <formula>"="</formula>
    </cfRule>
  </conditionalFormatting>
  <conditionalFormatting sqref="D881">
    <cfRule type="expression" dxfId="29" priority="9">
      <formula>"="</formula>
    </cfRule>
  </conditionalFormatting>
  <conditionalFormatting sqref="F881">
    <cfRule type="expression" dxfId="28" priority="8">
      <formula>"="</formula>
    </cfRule>
  </conditionalFormatting>
  <conditionalFormatting sqref="B881">
    <cfRule type="expression" dxfId="27" priority="7">
      <formula>"="</formula>
    </cfRule>
  </conditionalFormatting>
  <conditionalFormatting sqref="B893">
    <cfRule type="expression" dxfId="26" priority="6">
      <formula>"="</formula>
    </cfRule>
  </conditionalFormatting>
  <conditionalFormatting sqref="C893">
    <cfRule type="expression" dxfId="25" priority="4">
      <formula>"="</formula>
    </cfRule>
  </conditionalFormatting>
  <conditionalFormatting sqref="E893 G893 I893">
    <cfRule type="expression" dxfId="24" priority="3">
      <formula>"="</formula>
    </cfRule>
  </conditionalFormatting>
  <conditionalFormatting sqref="D893">
    <cfRule type="expression" dxfId="23" priority="2">
      <formula>"="</formula>
    </cfRule>
  </conditionalFormatting>
  <conditionalFormatting sqref="F893">
    <cfRule type="expression" dxfId="22" priority="1">
      <formula>"="</formula>
    </cfRule>
  </conditionalFormatting>
  <pageMargins left="0.7086111307144165" right="0.7086111307144165" top="0.74750000238418579" bottom="0.74750000238418579" header="0.31486111879348755" footer="0.31486111879348755"/>
  <pageSetup paperSize="9" scale="78" fitToHeight="0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N25"/>
  <sheetViews>
    <sheetView zoomScaleNormal="100" zoomScaleSheetLayoutView="75" workbookViewId="0">
      <pane ySplit="2" topLeftCell="A9" activePane="bottomLeft" state="frozen"/>
      <selection pane="bottomLeft" activeCell="A15" sqref="A15"/>
    </sheetView>
  </sheetViews>
  <sheetFormatPr defaultColWidth="9" defaultRowHeight="12"/>
  <cols>
    <col min="1" max="1" width="11.5" style="90" bestFit="1" customWidth="1"/>
    <col min="2" max="2" width="10.125" style="90" bestFit="1" customWidth="1"/>
    <col min="3" max="3" width="10.375" style="90" customWidth="1"/>
    <col min="4" max="4" width="15.75" style="91" customWidth="1"/>
    <col min="5" max="5" width="10.5" style="91" customWidth="1"/>
    <col min="6" max="6" width="11" style="91" customWidth="1"/>
    <col min="7" max="7" width="12.875" style="91" customWidth="1"/>
    <col min="8" max="8" width="44.25" style="91" customWidth="1"/>
    <col min="9" max="9" width="18" style="91" customWidth="1"/>
    <col min="10" max="10" width="12.375" style="90" customWidth="1"/>
    <col min="11" max="11" width="17.875" style="91" bestFit="1" customWidth="1"/>
    <col min="12" max="12" width="9" style="90" customWidth="1"/>
    <col min="13" max="13" width="38.5" style="90" bestFit="1" customWidth="1"/>
    <col min="14" max="14" width="39.375" style="92" customWidth="1"/>
    <col min="15" max="15" width="19.875" style="91" bestFit="1" customWidth="1"/>
    <col min="16" max="256" width="9" style="91"/>
    <col min="257" max="257" width="11.5" style="91" bestFit="1" customWidth="1"/>
    <col min="258" max="258" width="10.125" style="91" bestFit="1" customWidth="1"/>
    <col min="259" max="259" width="10.375" style="91" customWidth="1"/>
    <col min="260" max="260" width="15.75" style="91" customWidth="1"/>
    <col min="261" max="261" width="10.5" style="91" customWidth="1"/>
    <col min="262" max="262" width="11" style="91" customWidth="1"/>
    <col min="263" max="263" width="12.875" style="91" customWidth="1"/>
    <col min="264" max="264" width="44.25" style="91" customWidth="1"/>
    <col min="265" max="265" width="18" style="91" customWidth="1"/>
    <col min="266" max="266" width="12.375" style="91" customWidth="1"/>
    <col min="267" max="267" width="14.375" style="91" bestFit="1" customWidth="1"/>
    <col min="268" max="268" width="9" style="91" customWidth="1"/>
    <col min="269" max="269" width="38.5" style="91" bestFit="1" customWidth="1"/>
    <col min="270" max="270" width="39.375" style="91" customWidth="1"/>
    <col min="271" max="271" width="19.875" style="91" bestFit="1" customWidth="1"/>
    <col min="272" max="512" width="9" style="91"/>
    <col min="513" max="513" width="11.5" style="91" bestFit="1" customWidth="1"/>
    <col min="514" max="514" width="10.125" style="91" bestFit="1" customWidth="1"/>
    <col min="515" max="515" width="10.375" style="91" customWidth="1"/>
    <col min="516" max="516" width="15.75" style="91" customWidth="1"/>
    <col min="517" max="517" width="10.5" style="91" customWidth="1"/>
    <col min="518" max="518" width="11" style="91" customWidth="1"/>
    <col min="519" max="519" width="12.875" style="91" customWidth="1"/>
    <col min="520" max="520" width="44.25" style="91" customWidth="1"/>
    <col min="521" max="521" width="18" style="91" customWidth="1"/>
    <col min="522" max="522" width="12.375" style="91" customWidth="1"/>
    <col min="523" max="523" width="14.375" style="91" bestFit="1" customWidth="1"/>
    <col min="524" max="524" width="9" style="91" customWidth="1"/>
    <col min="525" max="525" width="38.5" style="91" bestFit="1" customWidth="1"/>
    <col min="526" max="526" width="39.375" style="91" customWidth="1"/>
    <col min="527" max="527" width="19.875" style="91" bestFit="1" customWidth="1"/>
    <col min="528" max="768" width="9" style="91"/>
    <col min="769" max="769" width="11.5" style="91" bestFit="1" customWidth="1"/>
    <col min="770" max="770" width="10.125" style="91" bestFit="1" customWidth="1"/>
    <col min="771" max="771" width="10.375" style="91" customWidth="1"/>
    <col min="772" max="772" width="15.75" style="91" customWidth="1"/>
    <col min="773" max="773" width="10.5" style="91" customWidth="1"/>
    <col min="774" max="774" width="11" style="91" customWidth="1"/>
    <col min="775" max="775" width="12.875" style="91" customWidth="1"/>
    <col min="776" max="776" width="44.25" style="91" customWidth="1"/>
    <col min="777" max="777" width="18" style="91" customWidth="1"/>
    <col min="778" max="778" width="12.375" style="91" customWidth="1"/>
    <col min="779" max="779" width="14.375" style="91" bestFit="1" customWidth="1"/>
    <col min="780" max="780" width="9" style="91" customWidth="1"/>
    <col min="781" max="781" width="38.5" style="91" bestFit="1" customWidth="1"/>
    <col min="782" max="782" width="39.375" style="91" customWidth="1"/>
    <col min="783" max="783" width="19.875" style="91" bestFit="1" customWidth="1"/>
    <col min="784" max="1024" width="9" style="91"/>
    <col min="1025" max="1025" width="11.5" style="91" bestFit="1" customWidth="1"/>
    <col min="1026" max="1026" width="10.125" style="91" bestFit="1" customWidth="1"/>
    <col min="1027" max="1027" width="10.375" style="91" customWidth="1"/>
    <col min="1028" max="1028" width="15.75" style="91" customWidth="1"/>
    <col min="1029" max="1029" width="10.5" style="91" customWidth="1"/>
    <col min="1030" max="1030" width="11" style="91" customWidth="1"/>
    <col min="1031" max="1031" width="12.875" style="91" customWidth="1"/>
    <col min="1032" max="1032" width="44.25" style="91" customWidth="1"/>
    <col min="1033" max="1033" width="18" style="91" customWidth="1"/>
    <col min="1034" max="1034" width="12.375" style="91" customWidth="1"/>
    <col min="1035" max="1035" width="14.375" style="91" bestFit="1" customWidth="1"/>
    <col min="1036" max="1036" width="9" style="91" customWidth="1"/>
    <col min="1037" max="1037" width="38.5" style="91" bestFit="1" customWidth="1"/>
    <col min="1038" max="1038" width="39.375" style="91" customWidth="1"/>
    <col min="1039" max="1039" width="19.875" style="91" bestFit="1" customWidth="1"/>
    <col min="1040" max="1280" width="9" style="91"/>
    <col min="1281" max="1281" width="11.5" style="91" bestFit="1" customWidth="1"/>
    <col min="1282" max="1282" width="10.125" style="91" bestFit="1" customWidth="1"/>
    <col min="1283" max="1283" width="10.375" style="91" customWidth="1"/>
    <col min="1284" max="1284" width="15.75" style="91" customWidth="1"/>
    <col min="1285" max="1285" width="10.5" style="91" customWidth="1"/>
    <col min="1286" max="1286" width="11" style="91" customWidth="1"/>
    <col min="1287" max="1287" width="12.875" style="91" customWidth="1"/>
    <col min="1288" max="1288" width="44.25" style="91" customWidth="1"/>
    <col min="1289" max="1289" width="18" style="91" customWidth="1"/>
    <col min="1290" max="1290" width="12.375" style="91" customWidth="1"/>
    <col min="1291" max="1291" width="14.375" style="91" bestFit="1" customWidth="1"/>
    <col min="1292" max="1292" width="9" style="91" customWidth="1"/>
    <col min="1293" max="1293" width="38.5" style="91" bestFit="1" customWidth="1"/>
    <col min="1294" max="1294" width="39.375" style="91" customWidth="1"/>
    <col min="1295" max="1295" width="19.875" style="91" bestFit="1" customWidth="1"/>
    <col min="1296" max="1536" width="9" style="91"/>
    <col min="1537" max="1537" width="11.5" style="91" bestFit="1" customWidth="1"/>
    <col min="1538" max="1538" width="10.125" style="91" bestFit="1" customWidth="1"/>
    <col min="1539" max="1539" width="10.375" style="91" customWidth="1"/>
    <col min="1540" max="1540" width="15.75" style="91" customWidth="1"/>
    <col min="1541" max="1541" width="10.5" style="91" customWidth="1"/>
    <col min="1542" max="1542" width="11" style="91" customWidth="1"/>
    <col min="1543" max="1543" width="12.875" style="91" customWidth="1"/>
    <col min="1544" max="1544" width="44.25" style="91" customWidth="1"/>
    <col min="1545" max="1545" width="18" style="91" customWidth="1"/>
    <col min="1546" max="1546" width="12.375" style="91" customWidth="1"/>
    <col min="1547" max="1547" width="14.375" style="91" bestFit="1" customWidth="1"/>
    <col min="1548" max="1548" width="9" style="91" customWidth="1"/>
    <col min="1549" max="1549" width="38.5" style="91" bestFit="1" customWidth="1"/>
    <col min="1550" max="1550" width="39.375" style="91" customWidth="1"/>
    <col min="1551" max="1551" width="19.875" style="91" bestFit="1" customWidth="1"/>
    <col min="1552" max="1792" width="9" style="91"/>
    <col min="1793" max="1793" width="11.5" style="91" bestFit="1" customWidth="1"/>
    <col min="1794" max="1794" width="10.125" style="91" bestFit="1" customWidth="1"/>
    <col min="1795" max="1795" width="10.375" style="91" customWidth="1"/>
    <col min="1796" max="1796" width="15.75" style="91" customWidth="1"/>
    <col min="1797" max="1797" width="10.5" style="91" customWidth="1"/>
    <col min="1798" max="1798" width="11" style="91" customWidth="1"/>
    <col min="1799" max="1799" width="12.875" style="91" customWidth="1"/>
    <col min="1800" max="1800" width="44.25" style="91" customWidth="1"/>
    <col min="1801" max="1801" width="18" style="91" customWidth="1"/>
    <col min="1802" max="1802" width="12.375" style="91" customWidth="1"/>
    <col min="1803" max="1803" width="14.375" style="91" bestFit="1" customWidth="1"/>
    <col min="1804" max="1804" width="9" style="91" customWidth="1"/>
    <col min="1805" max="1805" width="38.5" style="91" bestFit="1" customWidth="1"/>
    <col min="1806" max="1806" width="39.375" style="91" customWidth="1"/>
    <col min="1807" max="1807" width="19.875" style="91" bestFit="1" customWidth="1"/>
    <col min="1808" max="2048" width="9" style="91"/>
    <col min="2049" max="2049" width="11.5" style="91" bestFit="1" customWidth="1"/>
    <col min="2050" max="2050" width="10.125" style="91" bestFit="1" customWidth="1"/>
    <col min="2051" max="2051" width="10.375" style="91" customWidth="1"/>
    <col min="2052" max="2052" width="15.75" style="91" customWidth="1"/>
    <col min="2053" max="2053" width="10.5" style="91" customWidth="1"/>
    <col min="2054" max="2054" width="11" style="91" customWidth="1"/>
    <col min="2055" max="2055" width="12.875" style="91" customWidth="1"/>
    <col min="2056" max="2056" width="44.25" style="91" customWidth="1"/>
    <col min="2057" max="2057" width="18" style="91" customWidth="1"/>
    <col min="2058" max="2058" width="12.375" style="91" customWidth="1"/>
    <col min="2059" max="2059" width="14.375" style="91" bestFit="1" customWidth="1"/>
    <col min="2060" max="2060" width="9" style="91" customWidth="1"/>
    <col min="2061" max="2061" width="38.5" style="91" bestFit="1" customWidth="1"/>
    <col min="2062" max="2062" width="39.375" style="91" customWidth="1"/>
    <col min="2063" max="2063" width="19.875" style="91" bestFit="1" customWidth="1"/>
    <col min="2064" max="2304" width="9" style="91"/>
    <col min="2305" max="2305" width="11.5" style="91" bestFit="1" customWidth="1"/>
    <col min="2306" max="2306" width="10.125" style="91" bestFit="1" customWidth="1"/>
    <col min="2307" max="2307" width="10.375" style="91" customWidth="1"/>
    <col min="2308" max="2308" width="15.75" style="91" customWidth="1"/>
    <col min="2309" max="2309" width="10.5" style="91" customWidth="1"/>
    <col min="2310" max="2310" width="11" style="91" customWidth="1"/>
    <col min="2311" max="2311" width="12.875" style="91" customWidth="1"/>
    <col min="2312" max="2312" width="44.25" style="91" customWidth="1"/>
    <col min="2313" max="2313" width="18" style="91" customWidth="1"/>
    <col min="2314" max="2314" width="12.375" style="91" customWidth="1"/>
    <col min="2315" max="2315" width="14.375" style="91" bestFit="1" customWidth="1"/>
    <col min="2316" max="2316" width="9" style="91" customWidth="1"/>
    <col min="2317" max="2317" width="38.5" style="91" bestFit="1" customWidth="1"/>
    <col min="2318" max="2318" width="39.375" style="91" customWidth="1"/>
    <col min="2319" max="2319" width="19.875" style="91" bestFit="1" customWidth="1"/>
    <col min="2320" max="2560" width="9" style="91"/>
    <col min="2561" max="2561" width="11.5" style="91" bestFit="1" customWidth="1"/>
    <col min="2562" max="2562" width="10.125" style="91" bestFit="1" customWidth="1"/>
    <col min="2563" max="2563" width="10.375" style="91" customWidth="1"/>
    <col min="2564" max="2564" width="15.75" style="91" customWidth="1"/>
    <col min="2565" max="2565" width="10.5" style="91" customWidth="1"/>
    <col min="2566" max="2566" width="11" style="91" customWidth="1"/>
    <col min="2567" max="2567" width="12.875" style="91" customWidth="1"/>
    <col min="2568" max="2568" width="44.25" style="91" customWidth="1"/>
    <col min="2569" max="2569" width="18" style="91" customWidth="1"/>
    <col min="2570" max="2570" width="12.375" style="91" customWidth="1"/>
    <col min="2571" max="2571" width="14.375" style="91" bestFit="1" customWidth="1"/>
    <col min="2572" max="2572" width="9" style="91" customWidth="1"/>
    <col min="2573" max="2573" width="38.5" style="91" bestFit="1" customWidth="1"/>
    <col min="2574" max="2574" width="39.375" style="91" customWidth="1"/>
    <col min="2575" max="2575" width="19.875" style="91" bestFit="1" customWidth="1"/>
    <col min="2576" max="2816" width="9" style="91"/>
    <col min="2817" max="2817" width="11.5" style="91" bestFit="1" customWidth="1"/>
    <col min="2818" max="2818" width="10.125" style="91" bestFit="1" customWidth="1"/>
    <col min="2819" max="2819" width="10.375" style="91" customWidth="1"/>
    <col min="2820" max="2820" width="15.75" style="91" customWidth="1"/>
    <col min="2821" max="2821" width="10.5" style="91" customWidth="1"/>
    <col min="2822" max="2822" width="11" style="91" customWidth="1"/>
    <col min="2823" max="2823" width="12.875" style="91" customWidth="1"/>
    <col min="2824" max="2824" width="44.25" style="91" customWidth="1"/>
    <col min="2825" max="2825" width="18" style="91" customWidth="1"/>
    <col min="2826" max="2826" width="12.375" style="91" customWidth="1"/>
    <col min="2827" max="2827" width="14.375" style="91" bestFit="1" customWidth="1"/>
    <col min="2828" max="2828" width="9" style="91" customWidth="1"/>
    <col min="2829" max="2829" width="38.5" style="91" bestFit="1" customWidth="1"/>
    <col min="2830" max="2830" width="39.375" style="91" customWidth="1"/>
    <col min="2831" max="2831" width="19.875" style="91" bestFit="1" customWidth="1"/>
    <col min="2832" max="3072" width="9" style="91"/>
    <col min="3073" max="3073" width="11.5" style="91" bestFit="1" customWidth="1"/>
    <col min="3074" max="3074" width="10.125" style="91" bestFit="1" customWidth="1"/>
    <col min="3075" max="3075" width="10.375" style="91" customWidth="1"/>
    <col min="3076" max="3076" width="15.75" style="91" customWidth="1"/>
    <col min="3077" max="3077" width="10.5" style="91" customWidth="1"/>
    <col min="3078" max="3078" width="11" style="91" customWidth="1"/>
    <col min="3079" max="3079" width="12.875" style="91" customWidth="1"/>
    <col min="3080" max="3080" width="44.25" style="91" customWidth="1"/>
    <col min="3081" max="3081" width="18" style="91" customWidth="1"/>
    <col min="3082" max="3082" width="12.375" style="91" customWidth="1"/>
    <col min="3083" max="3083" width="14.375" style="91" bestFit="1" customWidth="1"/>
    <col min="3084" max="3084" width="9" style="91" customWidth="1"/>
    <col min="3085" max="3085" width="38.5" style="91" bestFit="1" customWidth="1"/>
    <col min="3086" max="3086" width="39.375" style="91" customWidth="1"/>
    <col min="3087" max="3087" width="19.875" style="91" bestFit="1" customWidth="1"/>
    <col min="3088" max="3328" width="9" style="91"/>
    <col min="3329" max="3329" width="11.5" style="91" bestFit="1" customWidth="1"/>
    <col min="3330" max="3330" width="10.125" style="91" bestFit="1" customWidth="1"/>
    <col min="3331" max="3331" width="10.375" style="91" customWidth="1"/>
    <col min="3332" max="3332" width="15.75" style="91" customWidth="1"/>
    <col min="3333" max="3333" width="10.5" style="91" customWidth="1"/>
    <col min="3334" max="3334" width="11" style="91" customWidth="1"/>
    <col min="3335" max="3335" width="12.875" style="91" customWidth="1"/>
    <col min="3336" max="3336" width="44.25" style="91" customWidth="1"/>
    <col min="3337" max="3337" width="18" style="91" customWidth="1"/>
    <col min="3338" max="3338" width="12.375" style="91" customWidth="1"/>
    <col min="3339" max="3339" width="14.375" style="91" bestFit="1" customWidth="1"/>
    <col min="3340" max="3340" width="9" style="91" customWidth="1"/>
    <col min="3341" max="3341" width="38.5" style="91" bestFit="1" customWidth="1"/>
    <col min="3342" max="3342" width="39.375" style="91" customWidth="1"/>
    <col min="3343" max="3343" width="19.875" style="91" bestFit="1" customWidth="1"/>
    <col min="3344" max="3584" width="9" style="91"/>
    <col min="3585" max="3585" width="11.5" style="91" bestFit="1" customWidth="1"/>
    <col min="3586" max="3586" width="10.125" style="91" bestFit="1" customWidth="1"/>
    <col min="3587" max="3587" width="10.375" style="91" customWidth="1"/>
    <col min="3588" max="3588" width="15.75" style="91" customWidth="1"/>
    <col min="3589" max="3589" width="10.5" style="91" customWidth="1"/>
    <col min="3590" max="3590" width="11" style="91" customWidth="1"/>
    <col min="3591" max="3591" width="12.875" style="91" customWidth="1"/>
    <col min="3592" max="3592" width="44.25" style="91" customWidth="1"/>
    <col min="3593" max="3593" width="18" style="91" customWidth="1"/>
    <col min="3594" max="3594" width="12.375" style="91" customWidth="1"/>
    <col min="3595" max="3595" width="14.375" style="91" bestFit="1" customWidth="1"/>
    <col min="3596" max="3596" width="9" style="91" customWidth="1"/>
    <col min="3597" max="3597" width="38.5" style="91" bestFit="1" customWidth="1"/>
    <col min="3598" max="3598" width="39.375" style="91" customWidth="1"/>
    <col min="3599" max="3599" width="19.875" style="91" bestFit="1" customWidth="1"/>
    <col min="3600" max="3840" width="9" style="91"/>
    <col min="3841" max="3841" width="11.5" style="91" bestFit="1" customWidth="1"/>
    <col min="3842" max="3842" width="10.125" style="91" bestFit="1" customWidth="1"/>
    <col min="3843" max="3843" width="10.375" style="91" customWidth="1"/>
    <col min="3844" max="3844" width="15.75" style="91" customWidth="1"/>
    <col min="3845" max="3845" width="10.5" style="91" customWidth="1"/>
    <col min="3846" max="3846" width="11" style="91" customWidth="1"/>
    <col min="3847" max="3847" width="12.875" style="91" customWidth="1"/>
    <col min="3848" max="3848" width="44.25" style="91" customWidth="1"/>
    <col min="3849" max="3849" width="18" style="91" customWidth="1"/>
    <col min="3850" max="3850" width="12.375" style="91" customWidth="1"/>
    <col min="3851" max="3851" width="14.375" style="91" bestFit="1" customWidth="1"/>
    <col min="3852" max="3852" width="9" style="91" customWidth="1"/>
    <col min="3853" max="3853" width="38.5" style="91" bestFit="1" customWidth="1"/>
    <col min="3854" max="3854" width="39.375" style="91" customWidth="1"/>
    <col min="3855" max="3855" width="19.875" style="91" bestFit="1" customWidth="1"/>
    <col min="3856" max="4096" width="9" style="91"/>
    <col min="4097" max="4097" width="11.5" style="91" bestFit="1" customWidth="1"/>
    <col min="4098" max="4098" width="10.125" style="91" bestFit="1" customWidth="1"/>
    <col min="4099" max="4099" width="10.375" style="91" customWidth="1"/>
    <col min="4100" max="4100" width="15.75" style="91" customWidth="1"/>
    <col min="4101" max="4101" width="10.5" style="91" customWidth="1"/>
    <col min="4102" max="4102" width="11" style="91" customWidth="1"/>
    <col min="4103" max="4103" width="12.875" style="91" customWidth="1"/>
    <col min="4104" max="4104" width="44.25" style="91" customWidth="1"/>
    <col min="4105" max="4105" width="18" style="91" customWidth="1"/>
    <col min="4106" max="4106" width="12.375" style="91" customWidth="1"/>
    <col min="4107" max="4107" width="14.375" style="91" bestFit="1" customWidth="1"/>
    <col min="4108" max="4108" width="9" style="91" customWidth="1"/>
    <col min="4109" max="4109" width="38.5" style="91" bestFit="1" customWidth="1"/>
    <col min="4110" max="4110" width="39.375" style="91" customWidth="1"/>
    <col min="4111" max="4111" width="19.875" style="91" bestFit="1" customWidth="1"/>
    <col min="4112" max="4352" width="9" style="91"/>
    <col min="4353" max="4353" width="11.5" style="91" bestFit="1" customWidth="1"/>
    <col min="4354" max="4354" width="10.125" style="91" bestFit="1" customWidth="1"/>
    <col min="4355" max="4355" width="10.375" style="91" customWidth="1"/>
    <col min="4356" max="4356" width="15.75" style="91" customWidth="1"/>
    <col min="4357" max="4357" width="10.5" style="91" customWidth="1"/>
    <col min="4358" max="4358" width="11" style="91" customWidth="1"/>
    <col min="4359" max="4359" width="12.875" style="91" customWidth="1"/>
    <col min="4360" max="4360" width="44.25" style="91" customWidth="1"/>
    <col min="4361" max="4361" width="18" style="91" customWidth="1"/>
    <col min="4362" max="4362" width="12.375" style="91" customWidth="1"/>
    <col min="4363" max="4363" width="14.375" style="91" bestFit="1" customWidth="1"/>
    <col min="4364" max="4364" width="9" style="91" customWidth="1"/>
    <col min="4365" max="4365" width="38.5" style="91" bestFit="1" customWidth="1"/>
    <col min="4366" max="4366" width="39.375" style="91" customWidth="1"/>
    <col min="4367" max="4367" width="19.875" style="91" bestFit="1" customWidth="1"/>
    <col min="4368" max="4608" width="9" style="91"/>
    <col min="4609" max="4609" width="11.5" style="91" bestFit="1" customWidth="1"/>
    <col min="4610" max="4610" width="10.125" style="91" bestFit="1" customWidth="1"/>
    <col min="4611" max="4611" width="10.375" style="91" customWidth="1"/>
    <col min="4612" max="4612" width="15.75" style="91" customWidth="1"/>
    <col min="4613" max="4613" width="10.5" style="91" customWidth="1"/>
    <col min="4614" max="4614" width="11" style="91" customWidth="1"/>
    <col min="4615" max="4615" width="12.875" style="91" customWidth="1"/>
    <col min="4616" max="4616" width="44.25" style="91" customWidth="1"/>
    <col min="4617" max="4617" width="18" style="91" customWidth="1"/>
    <col min="4618" max="4618" width="12.375" style="91" customWidth="1"/>
    <col min="4619" max="4619" width="14.375" style="91" bestFit="1" customWidth="1"/>
    <col min="4620" max="4620" width="9" style="91" customWidth="1"/>
    <col min="4621" max="4621" width="38.5" style="91" bestFit="1" customWidth="1"/>
    <col min="4622" max="4622" width="39.375" style="91" customWidth="1"/>
    <col min="4623" max="4623" width="19.875" style="91" bestFit="1" customWidth="1"/>
    <col min="4624" max="4864" width="9" style="91"/>
    <col min="4865" max="4865" width="11.5" style="91" bestFit="1" customWidth="1"/>
    <col min="4866" max="4866" width="10.125" style="91" bestFit="1" customWidth="1"/>
    <col min="4867" max="4867" width="10.375" style="91" customWidth="1"/>
    <col min="4868" max="4868" width="15.75" style="91" customWidth="1"/>
    <col min="4869" max="4869" width="10.5" style="91" customWidth="1"/>
    <col min="4870" max="4870" width="11" style="91" customWidth="1"/>
    <col min="4871" max="4871" width="12.875" style="91" customWidth="1"/>
    <col min="4872" max="4872" width="44.25" style="91" customWidth="1"/>
    <col min="4873" max="4873" width="18" style="91" customWidth="1"/>
    <col min="4874" max="4874" width="12.375" style="91" customWidth="1"/>
    <col min="4875" max="4875" width="14.375" style="91" bestFit="1" customWidth="1"/>
    <col min="4876" max="4876" width="9" style="91" customWidth="1"/>
    <col min="4877" max="4877" width="38.5" style="91" bestFit="1" customWidth="1"/>
    <col min="4878" max="4878" width="39.375" style="91" customWidth="1"/>
    <col min="4879" max="4879" width="19.875" style="91" bestFit="1" customWidth="1"/>
    <col min="4880" max="5120" width="9" style="91"/>
    <col min="5121" max="5121" width="11.5" style="91" bestFit="1" customWidth="1"/>
    <col min="5122" max="5122" width="10.125" style="91" bestFit="1" customWidth="1"/>
    <col min="5123" max="5123" width="10.375" style="91" customWidth="1"/>
    <col min="5124" max="5124" width="15.75" style="91" customWidth="1"/>
    <col min="5125" max="5125" width="10.5" style="91" customWidth="1"/>
    <col min="5126" max="5126" width="11" style="91" customWidth="1"/>
    <col min="5127" max="5127" width="12.875" style="91" customWidth="1"/>
    <col min="5128" max="5128" width="44.25" style="91" customWidth="1"/>
    <col min="5129" max="5129" width="18" style="91" customWidth="1"/>
    <col min="5130" max="5130" width="12.375" style="91" customWidth="1"/>
    <col min="5131" max="5131" width="14.375" style="91" bestFit="1" customWidth="1"/>
    <col min="5132" max="5132" width="9" style="91" customWidth="1"/>
    <col min="5133" max="5133" width="38.5" style="91" bestFit="1" customWidth="1"/>
    <col min="5134" max="5134" width="39.375" style="91" customWidth="1"/>
    <col min="5135" max="5135" width="19.875" style="91" bestFit="1" customWidth="1"/>
    <col min="5136" max="5376" width="9" style="91"/>
    <col min="5377" max="5377" width="11.5" style="91" bestFit="1" customWidth="1"/>
    <col min="5378" max="5378" width="10.125" style="91" bestFit="1" customWidth="1"/>
    <col min="5379" max="5379" width="10.375" style="91" customWidth="1"/>
    <col min="5380" max="5380" width="15.75" style="91" customWidth="1"/>
    <col min="5381" max="5381" width="10.5" style="91" customWidth="1"/>
    <col min="5382" max="5382" width="11" style="91" customWidth="1"/>
    <col min="5383" max="5383" width="12.875" style="91" customWidth="1"/>
    <col min="5384" max="5384" width="44.25" style="91" customWidth="1"/>
    <col min="5385" max="5385" width="18" style="91" customWidth="1"/>
    <col min="5386" max="5386" width="12.375" style="91" customWidth="1"/>
    <col min="5387" max="5387" width="14.375" style="91" bestFit="1" customWidth="1"/>
    <col min="5388" max="5388" width="9" style="91" customWidth="1"/>
    <col min="5389" max="5389" width="38.5" style="91" bestFit="1" customWidth="1"/>
    <col min="5390" max="5390" width="39.375" style="91" customWidth="1"/>
    <col min="5391" max="5391" width="19.875" style="91" bestFit="1" customWidth="1"/>
    <col min="5392" max="5632" width="9" style="91"/>
    <col min="5633" max="5633" width="11.5" style="91" bestFit="1" customWidth="1"/>
    <col min="5634" max="5634" width="10.125" style="91" bestFit="1" customWidth="1"/>
    <col min="5635" max="5635" width="10.375" style="91" customWidth="1"/>
    <col min="5636" max="5636" width="15.75" style="91" customWidth="1"/>
    <col min="5637" max="5637" width="10.5" style="91" customWidth="1"/>
    <col min="5638" max="5638" width="11" style="91" customWidth="1"/>
    <col min="5639" max="5639" width="12.875" style="91" customWidth="1"/>
    <col min="5640" max="5640" width="44.25" style="91" customWidth="1"/>
    <col min="5641" max="5641" width="18" style="91" customWidth="1"/>
    <col min="5642" max="5642" width="12.375" style="91" customWidth="1"/>
    <col min="5643" max="5643" width="14.375" style="91" bestFit="1" customWidth="1"/>
    <col min="5644" max="5644" width="9" style="91" customWidth="1"/>
    <col min="5645" max="5645" width="38.5" style="91" bestFit="1" customWidth="1"/>
    <col min="5646" max="5646" width="39.375" style="91" customWidth="1"/>
    <col min="5647" max="5647" width="19.875" style="91" bestFit="1" customWidth="1"/>
    <col min="5648" max="5888" width="9" style="91"/>
    <col min="5889" max="5889" width="11.5" style="91" bestFit="1" customWidth="1"/>
    <col min="5890" max="5890" width="10.125" style="91" bestFit="1" customWidth="1"/>
    <col min="5891" max="5891" width="10.375" style="91" customWidth="1"/>
    <col min="5892" max="5892" width="15.75" style="91" customWidth="1"/>
    <col min="5893" max="5893" width="10.5" style="91" customWidth="1"/>
    <col min="5894" max="5894" width="11" style="91" customWidth="1"/>
    <col min="5895" max="5895" width="12.875" style="91" customWidth="1"/>
    <col min="5896" max="5896" width="44.25" style="91" customWidth="1"/>
    <col min="5897" max="5897" width="18" style="91" customWidth="1"/>
    <col min="5898" max="5898" width="12.375" style="91" customWidth="1"/>
    <col min="5899" max="5899" width="14.375" style="91" bestFit="1" customWidth="1"/>
    <col min="5900" max="5900" width="9" style="91" customWidth="1"/>
    <col min="5901" max="5901" width="38.5" style="91" bestFit="1" customWidth="1"/>
    <col min="5902" max="5902" width="39.375" style="91" customWidth="1"/>
    <col min="5903" max="5903" width="19.875" style="91" bestFit="1" customWidth="1"/>
    <col min="5904" max="6144" width="9" style="91"/>
    <col min="6145" max="6145" width="11.5" style="91" bestFit="1" customWidth="1"/>
    <col min="6146" max="6146" width="10.125" style="91" bestFit="1" customWidth="1"/>
    <col min="6147" max="6147" width="10.375" style="91" customWidth="1"/>
    <col min="6148" max="6148" width="15.75" style="91" customWidth="1"/>
    <col min="6149" max="6149" width="10.5" style="91" customWidth="1"/>
    <col min="6150" max="6150" width="11" style="91" customWidth="1"/>
    <col min="6151" max="6151" width="12.875" style="91" customWidth="1"/>
    <col min="6152" max="6152" width="44.25" style="91" customWidth="1"/>
    <col min="6153" max="6153" width="18" style="91" customWidth="1"/>
    <col min="6154" max="6154" width="12.375" style="91" customWidth="1"/>
    <col min="6155" max="6155" width="14.375" style="91" bestFit="1" customWidth="1"/>
    <col min="6156" max="6156" width="9" style="91" customWidth="1"/>
    <col min="6157" max="6157" width="38.5" style="91" bestFit="1" customWidth="1"/>
    <col min="6158" max="6158" width="39.375" style="91" customWidth="1"/>
    <col min="6159" max="6159" width="19.875" style="91" bestFit="1" customWidth="1"/>
    <col min="6160" max="6400" width="9" style="91"/>
    <col min="6401" max="6401" width="11.5" style="91" bestFit="1" customWidth="1"/>
    <col min="6402" max="6402" width="10.125" style="91" bestFit="1" customWidth="1"/>
    <col min="6403" max="6403" width="10.375" style="91" customWidth="1"/>
    <col min="6404" max="6404" width="15.75" style="91" customWidth="1"/>
    <col min="6405" max="6405" width="10.5" style="91" customWidth="1"/>
    <col min="6406" max="6406" width="11" style="91" customWidth="1"/>
    <col min="6407" max="6407" width="12.875" style="91" customWidth="1"/>
    <col min="6408" max="6408" width="44.25" style="91" customWidth="1"/>
    <col min="6409" max="6409" width="18" style="91" customWidth="1"/>
    <col min="6410" max="6410" width="12.375" style="91" customWidth="1"/>
    <col min="6411" max="6411" width="14.375" style="91" bestFit="1" customWidth="1"/>
    <col min="6412" max="6412" width="9" style="91" customWidth="1"/>
    <col min="6413" max="6413" width="38.5" style="91" bestFit="1" customWidth="1"/>
    <col min="6414" max="6414" width="39.375" style="91" customWidth="1"/>
    <col min="6415" max="6415" width="19.875" style="91" bestFit="1" customWidth="1"/>
    <col min="6416" max="6656" width="9" style="91"/>
    <col min="6657" max="6657" width="11.5" style="91" bestFit="1" customWidth="1"/>
    <col min="6658" max="6658" width="10.125" style="91" bestFit="1" customWidth="1"/>
    <col min="6659" max="6659" width="10.375" style="91" customWidth="1"/>
    <col min="6660" max="6660" width="15.75" style="91" customWidth="1"/>
    <col min="6661" max="6661" width="10.5" style="91" customWidth="1"/>
    <col min="6662" max="6662" width="11" style="91" customWidth="1"/>
    <col min="6663" max="6663" width="12.875" style="91" customWidth="1"/>
    <col min="6664" max="6664" width="44.25" style="91" customWidth="1"/>
    <col min="6665" max="6665" width="18" style="91" customWidth="1"/>
    <col min="6666" max="6666" width="12.375" style="91" customWidth="1"/>
    <col min="6667" max="6667" width="14.375" style="91" bestFit="1" customWidth="1"/>
    <col min="6668" max="6668" width="9" style="91" customWidth="1"/>
    <col min="6669" max="6669" width="38.5" style="91" bestFit="1" customWidth="1"/>
    <col min="6670" max="6670" width="39.375" style="91" customWidth="1"/>
    <col min="6671" max="6671" width="19.875" style="91" bestFit="1" customWidth="1"/>
    <col min="6672" max="6912" width="9" style="91"/>
    <col min="6913" max="6913" width="11.5" style="91" bestFit="1" customWidth="1"/>
    <col min="6914" max="6914" width="10.125" style="91" bestFit="1" customWidth="1"/>
    <col min="6915" max="6915" width="10.375" style="91" customWidth="1"/>
    <col min="6916" max="6916" width="15.75" style="91" customWidth="1"/>
    <col min="6917" max="6917" width="10.5" style="91" customWidth="1"/>
    <col min="6918" max="6918" width="11" style="91" customWidth="1"/>
    <col min="6919" max="6919" width="12.875" style="91" customWidth="1"/>
    <col min="6920" max="6920" width="44.25" style="91" customWidth="1"/>
    <col min="6921" max="6921" width="18" style="91" customWidth="1"/>
    <col min="6922" max="6922" width="12.375" style="91" customWidth="1"/>
    <col min="6923" max="6923" width="14.375" style="91" bestFit="1" customWidth="1"/>
    <col min="6924" max="6924" width="9" style="91" customWidth="1"/>
    <col min="6925" max="6925" width="38.5" style="91" bestFit="1" customWidth="1"/>
    <col min="6926" max="6926" width="39.375" style="91" customWidth="1"/>
    <col min="6927" max="6927" width="19.875" style="91" bestFit="1" customWidth="1"/>
    <col min="6928" max="7168" width="9" style="91"/>
    <col min="7169" max="7169" width="11.5" style="91" bestFit="1" customWidth="1"/>
    <col min="7170" max="7170" width="10.125" style="91" bestFit="1" customWidth="1"/>
    <col min="7171" max="7171" width="10.375" style="91" customWidth="1"/>
    <col min="7172" max="7172" width="15.75" style="91" customWidth="1"/>
    <col min="7173" max="7173" width="10.5" style="91" customWidth="1"/>
    <col min="7174" max="7174" width="11" style="91" customWidth="1"/>
    <col min="7175" max="7175" width="12.875" style="91" customWidth="1"/>
    <col min="7176" max="7176" width="44.25" style="91" customWidth="1"/>
    <col min="7177" max="7177" width="18" style="91" customWidth="1"/>
    <col min="7178" max="7178" width="12.375" style="91" customWidth="1"/>
    <col min="7179" max="7179" width="14.375" style="91" bestFit="1" customWidth="1"/>
    <col min="7180" max="7180" width="9" style="91" customWidth="1"/>
    <col min="7181" max="7181" width="38.5" style="91" bestFit="1" customWidth="1"/>
    <col min="7182" max="7182" width="39.375" style="91" customWidth="1"/>
    <col min="7183" max="7183" width="19.875" style="91" bestFit="1" customWidth="1"/>
    <col min="7184" max="7424" width="9" style="91"/>
    <col min="7425" max="7425" width="11.5" style="91" bestFit="1" customWidth="1"/>
    <col min="7426" max="7426" width="10.125" style="91" bestFit="1" customWidth="1"/>
    <col min="7427" max="7427" width="10.375" style="91" customWidth="1"/>
    <col min="7428" max="7428" width="15.75" style="91" customWidth="1"/>
    <col min="7429" max="7429" width="10.5" style="91" customWidth="1"/>
    <col min="7430" max="7430" width="11" style="91" customWidth="1"/>
    <col min="7431" max="7431" width="12.875" style="91" customWidth="1"/>
    <col min="7432" max="7432" width="44.25" style="91" customWidth="1"/>
    <col min="7433" max="7433" width="18" style="91" customWidth="1"/>
    <col min="7434" max="7434" width="12.375" style="91" customWidth="1"/>
    <col min="7435" max="7435" width="14.375" style="91" bestFit="1" customWidth="1"/>
    <col min="7436" max="7436" width="9" style="91" customWidth="1"/>
    <col min="7437" max="7437" width="38.5" style="91" bestFit="1" customWidth="1"/>
    <col min="7438" max="7438" width="39.375" style="91" customWidth="1"/>
    <col min="7439" max="7439" width="19.875" style="91" bestFit="1" customWidth="1"/>
    <col min="7440" max="7680" width="9" style="91"/>
    <col min="7681" max="7681" width="11.5" style="91" bestFit="1" customWidth="1"/>
    <col min="7682" max="7682" width="10.125" style="91" bestFit="1" customWidth="1"/>
    <col min="7683" max="7683" width="10.375" style="91" customWidth="1"/>
    <col min="7684" max="7684" width="15.75" style="91" customWidth="1"/>
    <col min="7685" max="7685" width="10.5" style="91" customWidth="1"/>
    <col min="7686" max="7686" width="11" style="91" customWidth="1"/>
    <col min="7687" max="7687" width="12.875" style="91" customWidth="1"/>
    <col min="7688" max="7688" width="44.25" style="91" customWidth="1"/>
    <col min="7689" max="7689" width="18" style="91" customWidth="1"/>
    <col min="7690" max="7690" width="12.375" style="91" customWidth="1"/>
    <col min="7691" max="7691" width="14.375" style="91" bestFit="1" customWidth="1"/>
    <col min="7692" max="7692" width="9" style="91" customWidth="1"/>
    <col min="7693" max="7693" width="38.5" style="91" bestFit="1" customWidth="1"/>
    <col min="7694" max="7694" width="39.375" style="91" customWidth="1"/>
    <col min="7695" max="7695" width="19.875" style="91" bestFit="1" customWidth="1"/>
    <col min="7696" max="7936" width="9" style="91"/>
    <col min="7937" max="7937" width="11.5" style="91" bestFit="1" customWidth="1"/>
    <col min="7938" max="7938" width="10.125" style="91" bestFit="1" customWidth="1"/>
    <col min="7939" max="7939" width="10.375" style="91" customWidth="1"/>
    <col min="7940" max="7940" width="15.75" style="91" customWidth="1"/>
    <col min="7941" max="7941" width="10.5" style="91" customWidth="1"/>
    <col min="7942" max="7942" width="11" style="91" customWidth="1"/>
    <col min="7943" max="7943" width="12.875" style="91" customWidth="1"/>
    <col min="7944" max="7944" width="44.25" style="91" customWidth="1"/>
    <col min="7945" max="7945" width="18" style="91" customWidth="1"/>
    <col min="7946" max="7946" width="12.375" style="91" customWidth="1"/>
    <col min="7947" max="7947" width="14.375" style="91" bestFit="1" customWidth="1"/>
    <col min="7948" max="7948" width="9" style="91" customWidth="1"/>
    <col min="7949" max="7949" width="38.5" style="91" bestFit="1" customWidth="1"/>
    <col min="7950" max="7950" width="39.375" style="91" customWidth="1"/>
    <col min="7951" max="7951" width="19.875" style="91" bestFit="1" customWidth="1"/>
    <col min="7952" max="8192" width="9" style="91"/>
    <col min="8193" max="8193" width="11.5" style="91" bestFit="1" customWidth="1"/>
    <col min="8194" max="8194" width="10.125" style="91" bestFit="1" customWidth="1"/>
    <col min="8195" max="8195" width="10.375" style="91" customWidth="1"/>
    <col min="8196" max="8196" width="15.75" style="91" customWidth="1"/>
    <col min="8197" max="8197" width="10.5" style="91" customWidth="1"/>
    <col min="8198" max="8198" width="11" style="91" customWidth="1"/>
    <col min="8199" max="8199" width="12.875" style="91" customWidth="1"/>
    <col min="8200" max="8200" width="44.25" style="91" customWidth="1"/>
    <col min="8201" max="8201" width="18" style="91" customWidth="1"/>
    <col min="8202" max="8202" width="12.375" style="91" customWidth="1"/>
    <col min="8203" max="8203" width="14.375" style="91" bestFit="1" customWidth="1"/>
    <col min="8204" max="8204" width="9" style="91" customWidth="1"/>
    <col min="8205" max="8205" width="38.5" style="91" bestFit="1" customWidth="1"/>
    <col min="8206" max="8206" width="39.375" style="91" customWidth="1"/>
    <col min="8207" max="8207" width="19.875" style="91" bestFit="1" customWidth="1"/>
    <col min="8208" max="8448" width="9" style="91"/>
    <col min="8449" max="8449" width="11.5" style="91" bestFit="1" customWidth="1"/>
    <col min="8450" max="8450" width="10.125" style="91" bestFit="1" customWidth="1"/>
    <col min="8451" max="8451" width="10.375" style="91" customWidth="1"/>
    <col min="8452" max="8452" width="15.75" style="91" customWidth="1"/>
    <col min="8453" max="8453" width="10.5" style="91" customWidth="1"/>
    <col min="8454" max="8454" width="11" style="91" customWidth="1"/>
    <col min="8455" max="8455" width="12.875" style="91" customWidth="1"/>
    <col min="8456" max="8456" width="44.25" style="91" customWidth="1"/>
    <col min="8457" max="8457" width="18" style="91" customWidth="1"/>
    <col min="8458" max="8458" width="12.375" style="91" customWidth="1"/>
    <col min="8459" max="8459" width="14.375" style="91" bestFit="1" customWidth="1"/>
    <col min="8460" max="8460" width="9" style="91" customWidth="1"/>
    <col min="8461" max="8461" width="38.5" style="91" bestFit="1" customWidth="1"/>
    <col min="8462" max="8462" width="39.375" style="91" customWidth="1"/>
    <col min="8463" max="8463" width="19.875" style="91" bestFit="1" customWidth="1"/>
    <col min="8464" max="8704" width="9" style="91"/>
    <col min="8705" max="8705" width="11.5" style="91" bestFit="1" customWidth="1"/>
    <col min="8706" max="8706" width="10.125" style="91" bestFit="1" customWidth="1"/>
    <col min="8707" max="8707" width="10.375" style="91" customWidth="1"/>
    <col min="8708" max="8708" width="15.75" style="91" customWidth="1"/>
    <col min="8709" max="8709" width="10.5" style="91" customWidth="1"/>
    <col min="8710" max="8710" width="11" style="91" customWidth="1"/>
    <col min="8711" max="8711" width="12.875" style="91" customWidth="1"/>
    <col min="8712" max="8712" width="44.25" style="91" customWidth="1"/>
    <col min="8713" max="8713" width="18" style="91" customWidth="1"/>
    <col min="8714" max="8714" width="12.375" style="91" customWidth="1"/>
    <col min="8715" max="8715" width="14.375" style="91" bestFit="1" customWidth="1"/>
    <col min="8716" max="8716" width="9" style="91" customWidth="1"/>
    <col min="8717" max="8717" width="38.5" style="91" bestFit="1" customWidth="1"/>
    <col min="8718" max="8718" width="39.375" style="91" customWidth="1"/>
    <col min="8719" max="8719" width="19.875" style="91" bestFit="1" customWidth="1"/>
    <col min="8720" max="8960" width="9" style="91"/>
    <col min="8961" max="8961" width="11.5" style="91" bestFit="1" customWidth="1"/>
    <col min="8962" max="8962" width="10.125" style="91" bestFit="1" customWidth="1"/>
    <col min="8963" max="8963" width="10.375" style="91" customWidth="1"/>
    <col min="8964" max="8964" width="15.75" style="91" customWidth="1"/>
    <col min="8965" max="8965" width="10.5" style="91" customWidth="1"/>
    <col min="8966" max="8966" width="11" style="91" customWidth="1"/>
    <col min="8967" max="8967" width="12.875" style="91" customWidth="1"/>
    <col min="8968" max="8968" width="44.25" style="91" customWidth="1"/>
    <col min="8969" max="8969" width="18" style="91" customWidth="1"/>
    <col min="8970" max="8970" width="12.375" style="91" customWidth="1"/>
    <col min="8971" max="8971" width="14.375" style="91" bestFit="1" customWidth="1"/>
    <col min="8972" max="8972" width="9" style="91" customWidth="1"/>
    <col min="8973" max="8973" width="38.5" style="91" bestFit="1" customWidth="1"/>
    <col min="8974" max="8974" width="39.375" style="91" customWidth="1"/>
    <col min="8975" max="8975" width="19.875" style="91" bestFit="1" customWidth="1"/>
    <col min="8976" max="9216" width="9" style="91"/>
    <col min="9217" max="9217" width="11.5" style="91" bestFit="1" customWidth="1"/>
    <col min="9218" max="9218" width="10.125" style="91" bestFit="1" customWidth="1"/>
    <col min="9219" max="9219" width="10.375" style="91" customWidth="1"/>
    <col min="9220" max="9220" width="15.75" style="91" customWidth="1"/>
    <col min="9221" max="9221" width="10.5" style="91" customWidth="1"/>
    <col min="9222" max="9222" width="11" style="91" customWidth="1"/>
    <col min="9223" max="9223" width="12.875" style="91" customWidth="1"/>
    <col min="9224" max="9224" width="44.25" style="91" customWidth="1"/>
    <col min="9225" max="9225" width="18" style="91" customWidth="1"/>
    <col min="9226" max="9226" width="12.375" style="91" customWidth="1"/>
    <col min="9227" max="9227" width="14.375" style="91" bestFit="1" customWidth="1"/>
    <col min="9228" max="9228" width="9" style="91" customWidth="1"/>
    <col min="9229" max="9229" width="38.5" style="91" bestFit="1" customWidth="1"/>
    <col min="9230" max="9230" width="39.375" style="91" customWidth="1"/>
    <col min="9231" max="9231" width="19.875" style="91" bestFit="1" customWidth="1"/>
    <col min="9232" max="9472" width="9" style="91"/>
    <col min="9473" max="9473" width="11.5" style="91" bestFit="1" customWidth="1"/>
    <col min="9474" max="9474" width="10.125" style="91" bestFit="1" customWidth="1"/>
    <col min="9475" max="9475" width="10.375" style="91" customWidth="1"/>
    <col min="9476" max="9476" width="15.75" style="91" customWidth="1"/>
    <col min="9477" max="9477" width="10.5" style="91" customWidth="1"/>
    <col min="9478" max="9478" width="11" style="91" customWidth="1"/>
    <col min="9479" max="9479" width="12.875" style="91" customWidth="1"/>
    <col min="9480" max="9480" width="44.25" style="91" customWidth="1"/>
    <col min="9481" max="9481" width="18" style="91" customWidth="1"/>
    <col min="9482" max="9482" width="12.375" style="91" customWidth="1"/>
    <col min="9483" max="9483" width="14.375" style="91" bestFit="1" customWidth="1"/>
    <col min="9484" max="9484" width="9" style="91" customWidth="1"/>
    <col min="9485" max="9485" width="38.5" style="91" bestFit="1" customWidth="1"/>
    <col min="9486" max="9486" width="39.375" style="91" customWidth="1"/>
    <col min="9487" max="9487" width="19.875" style="91" bestFit="1" customWidth="1"/>
    <col min="9488" max="9728" width="9" style="91"/>
    <col min="9729" max="9729" width="11.5" style="91" bestFit="1" customWidth="1"/>
    <col min="9730" max="9730" width="10.125" style="91" bestFit="1" customWidth="1"/>
    <col min="9731" max="9731" width="10.375" style="91" customWidth="1"/>
    <col min="9732" max="9732" width="15.75" style="91" customWidth="1"/>
    <col min="9733" max="9733" width="10.5" style="91" customWidth="1"/>
    <col min="9734" max="9734" width="11" style="91" customWidth="1"/>
    <col min="9735" max="9735" width="12.875" style="91" customWidth="1"/>
    <col min="9736" max="9736" width="44.25" style="91" customWidth="1"/>
    <col min="9737" max="9737" width="18" style="91" customWidth="1"/>
    <col min="9738" max="9738" width="12.375" style="91" customWidth="1"/>
    <col min="9739" max="9739" width="14.375" style="91" bestFit="1" customWidth="1"/>
    <col min="9740" max="9740" width="9" style="91" customWidth="1"/>
    <col min="9741" max="9741" width="38.5" style="91" bestFit="1" customWidth="1"/>
    <col min="9742" max="9742" width="39.375" style="91" customWidth="1"/>
    <col min="9743" max="9743" width="19.875" style="91" bestFit="1" customWidth="1"/>
    <col min="9744" max="9984" width="9" style="91"/>
    <col min="9985" max="9985" width="11.5" style="91" bestFit="1" customWidth="1"/>
    <col min="9986" max="9986" width="10.125" style="91" bestFit="1" customWidth="1"/>
    <col min="9987" max="9987" width="10.375" style="91" customWidth="1"/>
    <col min="9988" max="9988" width="15.75" style="91" customWidth="1"/>
    <col min="9989" max="9989" width="10.5" style="91" customWidth="1"/>
    <col min="9990" max="9990" width="11" style="91" customWidth="1"/>
    <col min="9991" max="9991" width="12.875" style="91" customWidth="1"/>
    <col min="9992" max="9992" width="44.25" style="91" customWidth="1"/>
    <col min="9993" max="9993" width="18" style="91" customWidth="1"/>
    <col min="9994" max="9994" width="12.375" style="91" customWidth="1"/>
    <col min="9995" max="9995" width="14.375" style="91" bestFit="1" customWidth="1"/>
    <col min="9996" max="9996" width="9" style="91" customWidth="1"/>
    <col min="9997" max="9997" width="38.5" style="91" bestFit="1" customWidth="1"/>
    <col min="9998" max="9998" width="39.375" style="91" customWidth="1"/>
    <col min="9999" max="9999" width="19.875" style="91" bestFit="1" customWidth="1"/>
    <col min="10000" max="10240" width="9" style="91"/>
    <col min="10241" max="10241" width="11.5" style="91" bestFit="1" customWidth="1"/>
    <col min="10242" max="10242" width="10.125" style="91" bestFit="1" customWidth="1"/>
    <col min="10243" max="10243" width="10.375" style="91" customWidth="1"/>
    <col min="10244" max="10244" width="15.75" style="91" customWidth="1"/>
    <col min="10245" max="10245" width="10.5" style="91" customWidth="1"/>
    <col min="10246" max="10246" width="11" style="91" customWidth="1"/>
    <col min="10247" max="10247" width="12.875" style="91" customWidth="1"/>
    <col min="10248" max="10248" width="44.25" style="91" customWidth="1"/>
    <col min="10249" max="10249" width="18" style="91" customWidth="1"/>
    <col min="10250" max="10250" width="12.375" style="91" customWidth="1"/>
    <col min="10251" max="10251" width="14.375" style="91" bestFit="1" customWidth="1"/>
    <col min="10252" max="10252" width="9" style="91" customWidth="1"/>
    <col min="10253" max="10253" width="38.5" style="91" bestFit="1" customWidth="1"/>
    <col min="10254" max="10254" width="39.375" style="91" customWidth="1"/>
    <col min="10255" max="10255" width="19.875" style="91" bestFit="1" customWidth="1"/>
    <col min="10256" max="10496" width="9" style="91"/>
    <col min="10497" max="10497" width="11.5" style="91" bestFit="1" customWidth="1"/>
    <col min="10498" max="10498" width="10.125" style="91" bestFit="1" customWidth="1"/>
    <col min="10499" max="10499" width="10.375" style="91" customWidth="1"/>
    <col min="10500" max="10500" width="15.75" style="91" customWidth="1"/>
    <col min="10501" max="10501" width="10.5" style="91" customWidth="1"/>
    <col min="10502" max="10502" width="11" style="91" customWidth="1"/>
    <col min="10503" max="10503" width="12.875" style="91" customWidth="1"/>
    <col min="10504" max="10504" width="44.25" style="91" customWidth="1"/>
    <col min="10505" max="10505" width="18" style="91" customWidth="1"/>
    <col min="10506" max="10506" width="12.375" style="91" customWidth="1"/>
    <col min="10507" max="10507" width="14.375" style="91" bestFit="1" customWidth="1"/>
    <col min="10508" max="10508" width="9" style="91" customWidth="1"/>
    <col min="10509" max="10509" width="38.5" style="91" bestFit="1" customWidth="1"/>
    <col min="10510" max="10510" width="39.375" style="91" customWidth="1"/>
    <col min="10511" max="10511" width="19.875" style="91" bestFit="1" customWidth="1"/>
    <col min="10512" max="10752" width="9" style="91"/>
    <col min="10753" max="10753" width="11.5" style="91" bestFit="1" customWidth="1"/>
    <col min="10754" max="10754" width="10.125" style="91" bestFit="1" customWidth="1"/>
    <col min="10755" max="10755" width="10.375" style="91" customWidth="1"/>
    <col min="10756" max="10756" width="15.75" style="91" customWidth="1"/>
    <col min="10757" max="10757" width="10.5" style="91" customWidth="1"/>
    <col min="10758" max="10758" width="11" style="91" customWidth="1"/>
    <col min="10759" max="10759" width="12.875" style="91" customWidth="1"/>
    <col min="10760" max="10760" width="44.25" style="91" customWidth="1"/>
    <col min="10761" max="10761" width="18" style="91" customWidth="1"/>
    <col min="10762" max="10762" width="12.375" style="91" customWidth="1"/>
    <col min="10763" max="10763" width="14.375" style="91" bestFit="1" customWidth="1"/>
    <col min="10764" max="10764" width="9" style="91" customWidth="1"/>
    <col min="10765" max="10765" width="38.5" style="91" bestFit="1" customWidth="1"/>
    <col min="10766" max="10766" width="39.375" style="91" customWidth="1"/>
    <col min="10767" max="10767" width="19.875" style="91" bestFit="1" customWidth="1"/>
    <col min="10768" max="11008" width="9" style="91"/>
    <col min="11009" max="11009" width="11.5" style="91" bestFit="1" customWidth="1"/>
    <col min="11010" max="11010" width="10.125" style="91" bestFit="1" customWidth="1"/>
    <col min="11011" max="11011" width="10.375" style="91" customWidth="1"/>
    <col min="11012" max="11012" width="15.75" style="91" customWidth="1"/>
    <col min="11013" max="11013" width="10.5" style="91" customWidth="1"/>
    <col min="11014" max="11014" width="11" style="91" customWidth="1"/>
    <col min="11015" max="11015" width="12.875" style="91" customWidth="1"/>
    <col min="11016" max="11016" width="44.25" style="91" customWidth="1"/>
    <col min="11017" max="11017" width="18" style="91" customWidth="1"/>
    <col min="11018" max="11018" width="12.375" style="91" customWidth="1"/>
    <col min="11019" max="11019" width="14.375" style="91" bestFit="1" customWidth="1"/>
    <col min="11020" max="11020" width="9" style="91" customWidth="1"/>
    <col min="11021" max="11021" width="38.5" style="91" bestFit="1" customWidth="1"/>
    <col min="11022" max="11022" width="39.375" style="91" customWidth="1"/>
    <col min="11023" max="11023" width="19.875" style="91" bestFit="1" customWidth="1"/>
    <col min="11024" max="11264" width="9" style="91"/>
    <col min="11265" max="11265" width="11.5" style="91" bestFit="1" customWidth="1"/>
    <col min="11266" max="11266" width="10.125" style="91" bestFit="1" customWidth="1"/>
    <col min="11267" max="11267" width="10.375" style="91" customWidth="1"/>
    <col min="11268" max="11268" width="15.75" style="91" customWidth="1"/>
    <col min="11269" max="11269" width="10.5" style="91" customWidth="1"/>
    <col min="11270" max="11270" width="11" style="91" customWidth="1"/>
    <col min="11271" max="11271" width="12.875" style="91" customWidth="1"/>
    <col min="11272" max="11272" width="44.25" style="91" customWidth="1"/>
    <col min="11273" max="11273" width="18" style="91" customWidth="1"/>
    <col min="11274" max="11274" width="12.375" style="91" customWidth="1"/>
    <col min="11275" max="11275" width="14.375" style="91" bestFit="1" customWidth="1"/>
    <col min="11276" max="11276" width="9" style="91" customWidth="1"/>
    <col min="11277" max="11277" width="38.5" style="91" bestFit="1" customWidth="1"/>
    <col min="11278" max="11278" width="39.375" style="91" customWidth="1"/>
    <col min="11279" max="11279" width="19.875" style="91" bestFit="1" customWidth="1"/>
    <col min="11280" max="11520" width="9" style="91"/>
    <col min="11521" max="11521" width="11.5" style="91" bestFit="1" customWidth="1"/>
    <col min="11522" max="11522" width="10.125" style="91" bestFit="1" customWidth="1"/>
    <col min="11523" max="11523" width="10.375" style="91" customWidth="1"/>
    <col min="11524" max="11524" width="15.75" style="91" customWidth="1"/>
    <col min="11525" max="11525" width="10.5" style="91" customWidth="1"/>
    <col min="11526" max="11526" width="11" style="91" customWidth="1"/>
    <col min="11527" max="11527" width="12.875" style="91" customWidth="1"/>
    <col min="11528" max="11528" width="44.25" style="91" customWidth="1"/>
    <col min="11529" max="11529" width="18" style="91" customWidth="1"/>
    <col min="11530" max="11530" width="12.375" style="91" customWidth="1"/>
    <col min="11531" max="11531" width="14.375" style="91" bestFit="1" customWidth="1"/>
    <col min="11532" max="11532" width="9" style="91" customWidth="1"/>
    <col min="11533" max="11533" width="38.5" style="91" bestFit="1" customWidth="1"/>
    <col min="11534" max="11534" width="39.375" style="91" customWidth="1"/>
    <col min="11535" max="11535" width="19.875" style="91" bestFit="1" customWidth="1"/>
    <col min="11536" max="11776" width="9" style="91"/>
    <col min="11777" max="11777" width="11.5" style="91" bestFit="1" customWidth="1"/>
    <col min="11778" max="11778" width="10.125" style="91" bestFit="1" customWidth="1"/>
    <col min="11779" max="11779" width="10.375" style="91" customWidth="1"/>
    <col min="11780" max="11780" width="15.75" style="91" customWidth="1"/>
    <col min="11781" max="11781" width="10.5" style="91" customWidth="1"/>
    <col min="11782" max="11782" width="11" style="91" customWidth="1"/>
    <col min="11783" max="11783" width="12.875" style="91" customWidth="1"/>
    <col min="11784" max="11784" width="44.25" style="91" customWidth="1"/>
    <col min="11785" max="11785" width="18" style="91" customWidth="1"/>
    <col min="11786" max="11786" width="12.375" style="91" customWidth="1"/>
    <col min="11787" max="11787" width="14.375" style="91" bestFit="1" customWidth="1"/>
    <col min="11788" max="11788" width="9" style="91" customWidth="1"/>
    <col min="11789" max="11789" width="38.5" style="91" bestFit="1" customWidth="1"/>
    <col min="11790" max="11790" width="39.375" style="91" customWidth="1"/>
    <col min="11791" max="11791" width="19.875" style="91" bestFit="1" customWidth="1"/>
    <col min="11792" max="12032" width="9" style="91"/>
    <col min="12033" max="12033" width="11.5" style="91" bestFit="1" customWidth="1"/>
    <col min="12034" max="12034" width="10.125" style="91" bestFit="1" customWidth="1"/>
    <col min="12035" max="12035" width="10.375" style="91" customWidth="1"/>
    <col min="12036" max="12036" width="15.75" style="91" customWidth="1"/>
    <col min="12037" max="12037" width="10.5" style="91" customWidth="1"/>
    <col min="12038" max="12038" width="11" style="91" customWidth="1"/>
    <col min="12039" max="12039" width="12.875" style="91" customWidth="1"/>
    <col min="12040" max="12040" width="44.25" style="91" customWidth="1"/>
    <col min="12041" max="12041" width="18" style="91" customWidth="1"/>
    <col min="12042" max="12042" width="12.375" style="91" customWidth="1"/>
    <col min="12043" max="12043" width="14.375" style="91" bestFit="1" customWidth="1"/>
    <col min="12044" max="12044" width="9" style="91" customWidth="1"/>
    <col min="12045" max="12045" width="38.5" style="91" bestFit="1" customWidth="1"/>
    <col min="12046" max="12046" width="39.375" style="91" customWidth="1"/>
    <col min="12047" max="12047" width="19.875" style="91" bestFit="1" customWidth="1"/>
    <col min="12048" max="12288" width="9" style="91"/>
    <col min="12289" max="12289" width="11.5" style="91" bestFit="1" customWidth="1"/>
    <col min="12290" max="12290" width="10.125" style="91" bestFit="1" customWidth="1"/>
    <col min="12291" max="12291" width="10.375" style="91" customWidth="1"/>
    <col min="12292" max="12292" width="15.75" style="91" customWidth="1"/>
    <col min="12293" max="12293" width="10.5" style="91" customWidth="1"/>
    <col min="12294" max="12294" width="11" style="91" customWidth="1"/>
    <col min="12295" max="12295" width="12.875" style="91" customWidth="1"/>
    <col min="12296" max="12296" width="44.25" style="91" customWidth="1"/>
    <col min="12297" max="12297" width="18" style="91" customWidth="1"/>
    <col min="12298" max="12298" width="12.375" style="91" customWidth="1"/>
    <col min="12299" max="12299" width="14.375" style="91" bestFit="1" customWidth="1"/>
    <col min="12300" max="12300" width="9" style="91" customWidth="1"/>
    <col min="12301" max="12301" width="38.5" style="91" bestFit="1" customWidth="1"/>
    <col min="12302" max="12302" width="39.375" style="91" customWidth="1"/>
    <col min="12303" max="12303" width="19.875" style="91" bestFit="1" customWidth="1"/>
    <col min="12304" max="12544" width="9" style="91"/>
    <col min="12545" max="12545" width="11.5" style="91" bestFit="1" customWidth="1"/>
    <col min="12546" max="12546" width="10.125" style="91" bestFit="1" customWidth="1"/>
    <col min="12547" max="12547" width="10.375" style="91" customWidth="1"/>
    <col min="12548" max="12548" width="15.75" style="91" customWidth="1"/>
    <col min="12549" max="12549" width="10.5" style="91" customWidth="1"/>
    <col min="12550" max="12550" width="11" style="91" customWidth="1"/>
    <col min="12551" max="12551" width="12.875" style="91" customWidth="1"/>
    <col min="12552" max="12552" width="44.25" style="91" customWidth="1"/>
    <col min="12553" max="12553" width="18" style="91" customWidth="1"/>
    <col min="12554" max="12554" width="12.375" style="91" customWidth="1"/>
    <col min="12555" max="12555" width="14.375" style="91" bestFit="1" customWidth="1"/>
    <col min="12556" max="12556" width="9" style="91" customWidth="1"/>
    <col min="12557" max="12557" width="38.5" style="91" bestFit="1" customWidth="1"/>
    <col min="12558" max="12558" width="39.375" style="91" customWidth="1"/>
    <col min="12559" max="12559" width="19.875" style="91" bestFit="1" customWidth="1"/>
    <col min="12560" max="12800" width="9" style="91"/>
    <col min="12801" max="12801" width="11.5" style="91" bestFit="1" customWidth="1"/>
    <col min="12802" max="12802" width="10.125" style="91" bestFit="1" customWidth="1"/>
    <col min="12803" max="12803" width="10.375" style="91" customWidth="1"/>
    <col min="12804" max="12804" width="15.75" style="91" customWidth="1"/>
    <col min="12805" max="12805" width="10.5" style="91" customWidth="1"/>
    <col min="12806" max="12806" width="11" style="91" customWidth="1"/>
    <col min="12807" max="12807" width="12.875" style="91" customWidth="1"/>
    <col min="12808" max="12808" width="44.25" style="91" customWidth="1"/>
    <col min="12809" max="12809" width="18" style="91" customWidth="1"/>
    <col min="12810" max="12810" width="12.375" style="91" customWidth="1"/>
    <col min="12811" max="12811" width="14.375" style="91" bestFit="1" customWidth="1"/>
    <col min="12812" max="12812" width="9" style="91" customWidth="1"/>
    <col min="12813" max="12813" width="38.5" style="91" bestFit="1" customWidth="1"/>
    <col min="12814" max="12814" width="39.375" style="91" customWidth="1"/>
    <col min="12815" max="12815" width="19.875" style="91" bestFit="1" customWidth="1"/>
    <col min="12816" max="13056" width="9" style="91"/>
    <col min="13057" max="13057" width="11.5" style="91" bestFit="1" customWidth="1"/>
    <col min="13058" max="13058" width="10.125" style="91" bestFit="1" customWidth="1"/>
    <col min="13059" max="13059" width="10.375" style="91" customWidth="1"/>
    <col min="13060" max="13060" width="15.75" style="91" customWidth="1"/>
    <col min="13061" max="13061" width="10.5" style="91" customWidth="1"/>
    <col min="13062" max="13062" width="11" style="91" customWidth="1"/>
    <col min="13063" max="13063" width="12.875" style="91" customWidth="1"/>
    <col min="13064" max="13064" width="44.25" style="91" customWidth="1"/>
    <col min="13065" max="13065" width="18" style="91" customWidth="1"/>
    <col min="13066" max="13066" width="12.375" style="91" customWidth="1"/>
    <col min="13067" max="13067" width="14.375" style="91" bestFit="1" customWidth="1"/>
    <col min="13068" max="13068" width="9" style="91" customWidth="1"/>
    <col min="13069" max="13069" width="38.5" style="91" bestFit="1" customWidth="1"/>
    <col min="13070" max="13070" width="39.375" style="91" customWidth="1"/>
    <col min="13071" max="13071" width="19.875" style="91" bestFit="1" customWidth="1"/>
    <col min="13072" max="13312" width="9" style="91"/>
    <col min="13313" max="13313" width="11.5" style="91" bestFit="1" customWidth="1"/>
    <col min="13314" max="13314" width="10.125" style="91" bestFit="1" customWidth="1"/>
    <col min="13315" max="13315" width="10.375" style="91" customWidth="1"/>
    <col min="13316" max="13316" width="15.75" style="91" customWidth="1"/>
    <col min="13317" max="13317" width="10.5" style="91" customWidth="1"/>
    <col min="13318" max="13318" width="11" style="91" customWidth="1"/>
    <col min="13319" max="13319" width="12.875" style="91" customWidth="1"/>
    <col min="13320" max="13320" width="44.25" style="91" customWidth="1"/>
    <col min="13321" max="13321" width="18" style="91" customWidth="1"/>
    <col min="13322" max="13322" width="12.375" style="91" customWidth="1"/>
    <col min="13323" max="13323" width="14.375" style="91" bestFit="1" customWidth="1"/>
    <col min="13324" max="13324" width="9" style="91" customWidth="1"/>
    <col min="13325" max="13325" width="38.5" style="91" bestFit="1" customWidth="1"/>
    <col min="13326" max="13326" width="39.375" style="91" customWidth="1"/>
    <col min="13327" max="13327" width="19.875" style="91" bestFit="1" customWidth="1"/>
    <col min="13328" max="13568" width="9" style="91"/>
    <col min="13569" max="13569" width="11.5" style="91" bestFit="1" customWidth="1"/>
    <col min="13570" max="13570" width="10.125" style="91" bestFit="1" customWidth="1"/>
    <col min="13571" max="13571" width="10.375" style="91" customWidth="1"/>
    <col min="13572" max="13572" width="15.75" style="91" customWidth="1"/>
    <col min="13573" max="13573" width="10.5" style="91" customWidth="1"/>
    <col min="13574" max="13574" width="11" style="91" customWidth="1"/>
    <col min="13575" max="13575" width="12.875" style="91" customWidth="1"/>
    <col min="13576" max="13576" width="44.25" style="91" customWidth="1"/>
    <col min="13577" max="13577" width="18" style="91" customWidth="1"/>
    <col min="13578" max="13578" width="12.375" style="91" customWidth="1"/>
    <col min="13579" max="13579" width="14.375" style="91" bestFit="1" customWidth="1"/>
    <col min="13580" max="13580" width="9" style="91" customWidth="1"/>
    <col min="13581" max="13581" width="38.5" style="91" bestFit="1" customWidth="1"/>
    <col min="13582" max="13582" width="39.375" style="91" customWidth="1"/>
    <col min="13583" max="13583" width="19.875" style="91" bestFit="1" customWidth="1"/>
    <col min="13584" max="13824" width="9" style="91"/>
    <col min="13825" max="13825" width="11.5" style="91" bestFit="1" customWidth="1"/>
    <col min="13826" max="13826" width="10.125" style="91" bestFit="1" customWidth="1"/>
    <col min="13827" max="13827" width="10.375" style="91" customWidth="1"/>
    <col min="13828" max="13828" width="15.75" style="91" customWidth="1"/>
    <col min="13829" max="13829" width="10.5" style="91" customWidth="1"/>
    <col min="13830" max="13830" width="11" style="91" customWidth="1"/>
    <col min="13831" max="13831" width="12.875" style="91" customWidth="1"/>
    <col min="13832" max="13832" width="44.25" style="91" customWidth="1"/>
    <col min="13833" max="13833" width="18" style="91" customWidth="1"/>
    <col min="13834" max="13834" width="12.375" style="91" customWidth="1"/>
    <col min="13835" max="13835" width="14.375" style="91" bestFit="1" customWidth="1"/>
    <col min="13836" max="13836" width="9" style="91" customWidth="1"/>
    <col min="13837" max="13837" width="38.5" style="91" bestFit="1" customWidth="1"/>
    <col min="13838" max="13838" width="39.375" style="91" customWidth="1"/>
    <col min="13839" max="13839" width="19.875" style="91" bestFit="1" customWidth="1"/>
    <col min="13840" max="14080" width="9" style="91"/>
    <col min="14081" max="14081" width="11.5" style="91" bestFit="1" customWidth="1"/>
    <col min="14082" max="14082" width="10.125" style="91" bestFit="1" customWidth="1"/>
    <col min="14083" max="14083" width="10.375" style="91" customWidth="1"/>
    <col min="14084" max="14084" width="15.75" style="91" customWidth="1"/>
    <col min="14085" max="14085" width="10.5" style="91" customWidth="1"/>
    <col min="14086" max="14086" width="11" style="91" customWidth="1"/>
    <col min="14087" max="14087" width="12.875" style="91" customWidth="1"/>
    <col min="14088" max="14088" width="44.25" style="91" customWidth="1"/>
    <col min="14089" max="14089" width="18" style="91" customWidth="1"/>
    <col min="14090" max="14090" width="12.375" style="91" customWidth="1"/>
    <col min="14091" max="14091" width="14.375" style="91" bestFit="1" customWidth="1"/>
    <col min="14092" max="14092" width="9" style="91" customWidth="1"/>
    <col min="14093" max="14093" width="38.5" style="91" bestFit="1" customWidth="1"/>
    <col min="14094" max="14094" width="39.375" style="91" customWidth="1"/>
    <col min="14095" max="14095" width="19.875" style="91" bestFit="1" customWidth="1"/>
    <col min="14096" max="14336" width="9" style="91"/>
    <col min="14337" max="14337" width="11.5" style="91" bestFit="1" customWidth="1"/>
    <col min="14338" max="14338" width="10.125" style="91" bestFit="1" customWidth="1"/>
    <col min="14339" max="14339" width="10.375" style="91" customWidth="1"/>
    <col min="14340" max="14340" width="15.75" style="91" customWidth="1"/>
    <col min="14341" max="14341" width="10.5" style="91" customWidth="1"/>
    <col min="14342" max="14342" width="11" style="91" customWidth="1"/>
    <col min="14343" max="14343" width="12.875" style="91" customWidth="1"/>
    <col min="14344" max="14344" width="44.25" style="91" customWidth="1"/>
    <col min="14345" max="14345" width="18" style="91" customWidth="1"/>
    <col min="14346" max="14346" width="12.375" style="91" customWidth="1"/>
    <col min="14347" max="14347" width="14.375" style="91" bestFit="1" customWidth="1"/>
    <col min="14348" max="14348" width="9" style="91" customWidth="1"/>
    <col min="14349" max="14349" width="38.5" style="91" bestFit="1" customWidth="1"/>
    <col min="14350" max="14350" width="39.375" style="91" customWidth="1"/>
    <col min="14351" max="14351" width="19.875" style="91" bestFit="1" customWidth="1"/>
    <col min="14352" max="14592" width="9" style="91"/>
    <col min="14593" max="14593" width="11.5" style="91" bestFit="1" customWidth="1"/>
    <col min="14594" max="14594" width="10.125" style="91" bestFit="1" customWidth="1"/>
    <col min="14595" max="14595" width="10.375" style="91" customWidth="1"/>
    <col min="14596" max="14596" width="15.75" style="91" customWidth="1"/>
    <col min="14597" max="14597" width="10.5" style="91" customWidth="1"/>
    <col min="14598" max="14598" width="11" style="91" customWidth="1"/>
    <col min="14599" max="14599" width="12.875" style="91" customWidth="1"/>
    <col min="14600" max="14600" width="44.25" style="91" customWidth="1"/>
    <col min="14601" max="14601" width="18" style="91" customWidth="1"/>
    <col min="14602" max="14602" width="12.375" style="91" customWidth="1"/>
    <col min="14603" max="14603" width="14.375" style="91" bestFit="1" customWidth="1"/>
    <col min="14604" max="14604" width="9" style="91" customWidth="1"/>
    <col min="14605" max="14605" width="38.5" style="91" bestFit="1" customWidth="1"/>
    <col min="14606" max="14606" width="39.375" style="91" customWidth="1"/>
    <col min="14607" max="14607" width="19.875" style="91" bestFit="1" customWidth="1"/>
    <col min="14608" max="14848" width="9" style="91"/>
    <col min="14849" max="14849" width="11.5" style="91" bestFit="1" customWidth="1"/>
    <col min="14850" max="14850" width="10.125" style="91" bestFit="1" customWidth="1"/>
    <col min="14851" max="14851" width="10.375" style="91" customWidth="1"/>
    <col min="14852" max="14852" width="15.75" style="91" customWidth="1"/>
    <col min="14853" max="14853" width="10.5" style="91" customWidth="1"/>
    <col min="14854" max="14854" width="11" style="91" customWidth="1"/>
    <col min="14855" max="14855" width="12.875" style="91" customWidth="1"/>
    <col min="14856" max="14856" width="44.25" style="91" customWidth="1"/>
    <col min="14857" max="14857" width="18" style="91" customWidth="1"/>
    <col min="14858" max="14858" width="12.375" style="91" customWidth="1"/>
    <col min="14859" max="14859" width="14.375" style="91" bestFit="1" customWidth="1"/>
    <col min="14860" max="14860" width="9" style="91" customWidth="1"/>
    <col min="14861" max="14861" width="38.5" style="91" bestFit="1" customWidth="1"/>
    <col min="14862" max="14862" width="39.375" style="91" customWidth="1"/>
    <col min="14863" max="14863" width="19.875" style="91" bestFit="1" customWidth="1"/>
    <col min="14864" max="15104" width="9" style="91"/>
    <col min="15105" max="15105" width="11.5" style="91" bestFit="1" customWidth="1"/>
    <col min="15106" max="15106" width="10.125" style="91" bestFit="1" customWidth="1"/>
    <col min="15107" max="15107" width="10.375" style="91" customWidth="1"/>
    <col min="15108" max="15108" width="15.75" style="91" customWidth="1"/>
    <col min="15109" max="15109" width="10.5" style="91" customWidth="1"/>
    <col min="15110" max="15110" width="11" style="91" customWidth="1"/>
    <col min="15111" max="15111" width="12.875" style="91" customWidth="1"/>
    <col min="15112" max="15112" width="44.25" style="91" customWidth="1"/>
    <col min="15113" max="15113" width="18" style="91" customWidth="1"/>
    <col min="15114" max="15114" width="12.375" style="91" customWidth="1"/>
    <col min="15115" max="15115" width="14.375" style="91" bestFit="1" customWidth="1"/>
    <col min="15116" max="15116" width="9" style="91" customWidth="1"/>
    <col min="15117" max="15117" width="38.5" style="91" bestFit="1" customWidth="1"/>
    <col min="15118" max="15118" width="39.375" style="91" customWidth="1"/>
    <col min="15119" max="15119" width="19.875" style="91" bestFit="1" customWidth="1"/>
    <col min="15120" max="15360" width="9" style="91"/>
    <col min="15361" max="15361" width="11.5" style="91" bestFit="1" customWidth="1"/>
    <col min="15362" max="15362" width="10.125" style="91" bestFit="1" customWidth="1"/>
    <col min="15363" max="15363" width="10.375" style="91" customWidth="1"/>
    <col min="15364" max="15364" width="15.75" style="91" customWidth="1"/>
    <col min="15365" max="15365" width="10.5" style="91" customWidth="1"/>
    <col min="15366" max="15366" width="11" style="91" customWidth="1"/>
    <col min="15367" max="15367" width="12.875" style="91" customWidth="1"/>
    <col min="15368" max="15368" width="44.25" style="91" customWidth="1"/>
    <col min="15369" max="15369" width="18" style="91" customWidth="1"/>
    <col min="15370" max="15370" width="12.375" style="91" customWidth="1"/>
    <col min="15371" max="15371" width="14.375" style="91" bestFit="1" customWidth="1"/>
    <col min="15372" max="15372" width="9" style="91" customWidth="1"/>
    <col min="15373" max="15373" width="38.5" style="91" bestFit="1" customWidth="1"/>
    <col min="15374" max="15374" width="39.375" style="91" customWidth="1"/>
    <col min="15375" max="15375" width="19.875" style="91" bestFit="1" customWidth="1"/>
    <col min="15376" max="15616" width="9" style="91"/>
    <col min="15617" max="15617" width="11.5" style="91" bestFit="1" customWidth="1"/>
    <col min="15618" max="15618" width="10.125" style="91" bestFit="1" customWidth="1"/>
    <col min="15619" max="15619" width="10.375" style="91" customWidth="1"/>
    <col min="15620" max="15620" width="15.75" style="91" customWidth="1"/>
    <col min="15621" max="15621" width="10.5" style="91" customWidth="1"/>
    <col min="15622" max="15622" width="11" style="91" customWidth="1"/>
    <col min="15623" max="15623" width="12.875" style="91" customWidth="1"/>
    <col min="15624" max="15624" width="44.25" style="91" customWidth="1"/>
    <col min="15625" max="15625" width="18" style="91" customWidth="1"/>
    <col min="15626" max="15626" width="12.375" style="91" customWidth="1"/>
    <col min="15627" max="15627" width="14.375" style="91" bestFit="1" customWidth="1"/>
    <col min="15628" max="15628" width="9" style="91" customWidth="1"/>
    <col min="15629" max="15629" width="38.5" style="91" bestFit="1" customWidth="1"/>
    <col min="15630" max="15630" width="39.375" style="91" customWidth="1"/>
    <col min="15631" max="15631" width="19.875" style="91" bestFit="1" customWidth="1"/>
    <col min="15632" max="15872" width="9" style="91"/>
    <col min="15873" max="15873" width="11.5" style="91" bestFit="1" customWidth="1"/>
    <col min="15874" max="15874" width="10.125" style="91" bestFit="1" customWidth="1"/>
    <col min="15875" max="15875" width="10.375" style="91" customWidth="1"/>
    <col min="15876" max="15876" width="15.75" style="91" customWidth="1"/>
    <col min="15877" max="15877" width="10.5" style="91" customWidth="1"/>
    <col min="15878" max="15878" width="11" style="91" customWidth="1"/>
    <col min="15879" max="15879" width="12.875" style="91" customWidth="1"/>
    <col min="15880" max="15880" width="44.25" style="91" customWidth="1"/>
    <col min="15881" max="15881" width="18" style="91" customWidth="1"/>
    <col min="15882" max="15882" width="12.375" style="91" customWidth="1"/>
    <col min="15883" max="15883" width="14.375" style="91" bestFit="1" customWidth="1"/>
    <col min="15884" max="15884" width="9" style="91" customWidth="1"/>
    <col min="15885" max="15885" width="38.5" style="91" bestFit="1" customWidth="1"/>
    <col min="15886" max="15886" width="39.375" style="91" customWidth="1"/>
    <col min="15887" max="15887" width="19.875" style="91" bestFit="1" customWidth="1"/>
    <col min="15888" max="16128" width="9" style="91"/>
    <col min="16129" max="16129" width="11.5" style="91" bestFit="1" customWidth="1"/>
    <col min="16130" max="16130" width="10.125" style="91" bestFit="1" customWidth="1"/>
    <col min="16131" max="16131" width="10.375" style="91" customWidth="1"/>
    <col min="16132" max="16132" width="15.75" style="91" customWidth="1"/>
    <col min="16133" max="16133" width="10.5" style="91" customWidth="1"/>
    <col min="16134" max="16134" width="11" style="91" customWidth="1"/>
    <col min="16135" max="16135" width="12.875" style="91" customWidth="1"/>
    <col min="16136" max="16136" width="44.25" style="91" customWidth="1"/>
    <col min="16137" max="16137" width="18" style="91" customWidth="1"/>
    <col min="16138" max="16138" width="12.375" style="91" customWidth="1"/>
    <col min="16139" max="16139" width="14.375" style="91" bestFit="1" customWidth="1"/>
    <col min="16140" max="16140" width="9" style="91" customWidth="1"/>
    <col min="16141" max="16141" width="38.5" style="91" bestFit="1" customWidth="1"/>
    <col min="16142" max="16142" width="39.375" style="91" customWidth="1"/>
    <col min="16143" max="16143" width="19.875" style="91" bestFit="1" customWidth="1"/>
    <col min="16144" max="16384" width="9" style="91"/>
  </cols>
  <sheetData>
    <row r="1" spans="1:14" ht="17.25">
      <c r="A1" s="37" t="s">
        <v>1088</v>
      </c>
    </row>
    <row r="2" spans="1:14" s="94" customFormat="1" ht="13.5">
      <c r="A2" s="93" t="s">
        <v>6</v>
      </c>
      <c r="B2" s="93" t="s">
        <v>1089</v>
      </c>
      <c r="C2" s="93" t="s">
        <v>1090</v>
      </c>
      <c r="D2" s="93" t="s">
        <v>1091</v>
      </c>
      <c r="E2" s="93" t="s">
        <v>1092</v>
      </c>
      <c r="F2" s="93" t="s">
        <v>1093</v>
      </c>
      <c r="G2" s="93" t="s">
        <v>1094</v>
      </c>
      <c r="H2" s="93" t="s">
        <v>1095</v>
      </c>
      <c r="I2" s="93" t="s">
        <v>1096</v>
      </c>
      <c r="J2" s="93" t="s">
        <v>1097</v>
      </c>
      <c r="K2" s="93" t="s">
        <v>1098</v>
      </c>
      <c r="L2" s="93" t="s">
        <v>1099</v>
      </c>
      <c r="M2" s="93" t="s">
        <v>1100</v>
      </c>
      <c r="N2" s="93" t="s">
        <v>7</v>
      </c>
    </row>
    <row r="3" spans="1:14" ht="336">
      <c r="A3" s="159" t="s">
        <v>1101</v>
      </c>
      <c r="B3" s="39" t="s">
        <v>1102</v>
      </c>
      <c r="C3" s="38" t="s">
        <v>1103</v>
      </c>
      <c r="D3" s="38" t="s">
        <v>1104</v>
      </c>
      <c r="E3" s="159" t="s">
        <v>1105</v>
      </c>
      <c r="F3" s="159" t="s">
        <v>1106</v>
      </c>
      <c r="G3" s="39">
        <v>20011</v>
      </c>
      <c r="H3" s="105" t="s">
        <v>1107</v>
      </c>
      <c r="I3" s="105" t="s">
        <v>1108</v>
      </c>
      <c r="J3" s="38" t="s">
        <v>1109</v>
      </c>
      <c r="K3" s="239" t="s">
        <v>1110</v>
      </c>
      <c r="L3" s="38"/>
      <c r="M3" s="38"/>
      <c r="N3" s="106"/>
    </row>
    <row r="4" spans="1:14" ht="96">
      <c r="A4" s="171" t="s">
        <v>1111</v>
      </c>
      <c r="B4" s="171" t="s">
        <v>1102</v>
      </c>
      <c r="C4" s="170" t="s">
        <v>1103</v>
      </c>
      <c r="D4" s="171" t="s">
        <v>1112</v>
      </c>
      <c r="E4" s="171">
        <v>10051</v>
      </c>
      <c r="F4" s="171">
        <v>11051</v>
      </c>
      <c r="G4" s="170">
        <v>20011</v>
      </c>
      <c r="H4" s="172" t="s">
        <v>1113</v>
      </c>
      <c r="I4" s="172" t="s">
        <v>1114</v>
      </c>
      <c r="J4" s="170" t="s">
        <v>1109</v>
      </c>
      <c r="K4" s="240"/>
      <c r="L4" s="38"/>
      <c r="M4" s="38"/>
      <c r="N4" s="106"/>
    </row>
    <row r="5" spans="1:14" ht="24">
      <c r="A5" s="39" t="s">
        <v>1111</v>
      </c>
      <c r="B5" s="39" t="s">
        <v>1102</v>
      </c>
      <c r="C5" s="38" t="s">
        <v>1115</v>
      </c>
      <c r="D5" s="39" t="s">
        <v>1116</v>
      </c>
      <c r="E5" s="159" t="s">
        <v>1117</v>
      </c>
      <c r="F5" s="159" t="s">
        <v>1118</v>
      </c>
      <c r="G5" s="38">
        <v>20011</v>
      </c>
      <c r="H5" s="105" t="s">
        <v>1119</v>
      </c>
      <c r="I5" s="105" t="s">
        <v>1120</v>
      </c>
      <c r="J5" s="38" t="s">
        <v>1109</v>
      </c>
      <c r="K5" s="240"/>
      <c r="L5" s="38"/>
      <c r="M5" s="38"/>
      <c r="N5" s="106"/>
    </row>
    <row r="6" spans="1:14" ht="24">
      <c r="A6" s="39" t="s">
        <v>1111</v>
      </c>
      <c r="B6" s="39" t="s">
        <v>1102</v>
      </c>
      <c r="C6" s="38" t="s">
        <v>1103</v>
      </c>
      <c r="D6" s="39" t="s">
        <v>1121</v>
      </c>
      <c r="E6" s="159" t="s">
        <v>1122</v>
      </c>
      <c r="F6" s="159" t="s">
        <v>1123</v>
      </c>
      <c r="G6" s="38">
        <v>20011</v>
      </c>
      <c r="H6" s="105" t="s">
        <v>1124</v>
      </c>
      <c r="I6" s="105" t="s">
        <v>1125</v>
      </c>
      <c r="J6" s="38" t="s">
        <v>1109</v>
      </c>
      <c r="K6" s="240"/>
      <c r="L6" s="38"/>
      <c r="M6" s="38"/>
      <c r="N6" s="106"/>
    </row>
    <row r="7" spans="1:14" ht="24">
      <c r="A7" s="171" t="s">
        <v>1111</v>
      </c>
      <c r="B7" s="171" t="s">
        <v>1102</v>
      </c>
      <c r="C7" s="170" t="s">
        <v>1103</v>
      </c>
      <c r="D7" s="171" t="s">
        <v>1126</v>
      </c>
      <c r="E7" s="171">
        <v>10054</v>
      </c>
      <c r="F7" s="171">
        <v>11054</v>
      </c>
      <c r="G7" s="170">
        <v>20011</v>
      </c>
      <c r="H7" s="172" t="s">
        <v>1127</v>
      </c>
      <c r="I7" s="172" t="s">
        <v>500</v>
      </c>
      <c r="J7" s="170" t="s">
        <v>1109</v>
      </c>
      <c r="K7" s="240"/>
      <c r="L7" s="38"/>
      <c r="M7" s="38"/>
      <c r="N7" s="106"/>
    </row>
    <row r="8" spans="1:14" ht="24">
      <c r="A8" s="38" t="s">
        <v>1111</v>
      </c>
      <c r="B8" s="39" t="s">
        <v>1102</v>
      </c>
      <c r="C8" s="38" t="s">
        <v>1115</v>
      </c>
      <c r="D8" s="39" t="s">
        <v>1128</v>
      </c>
      <c r="E8" s="159" t="s">
        <v>1129</v>
      </c>
      <c r="F8" s="159" t="s">
        <v>1130</v>
      </c>
      <c r="G8" s="38">
        <v>20011</v>
      </c>
      <c r="H8" s="105" t="s">
        <v>1131</v>
      </c>
      <c r="I8" s="105" t="s">
        <v>143</v>
      </c>
      <c r="J8" s="38" t="s">
        <v>1109</v>
      </c>
      <c r="K8" s="241"/>
      <c r="L8" s="38"/>
      <c r="M8" s="107"/>
      <c r="N8" s="106"/>
    </row>
    <row r="9" spans="1:14" ht="84">
      <c r="A9" s="38" t="s">
        <v>1111</v>
      </c>
      <c r="B9" s="39" t="s">
        <v>1132</v>
      </c>
      <c r="C9" s="38" t="s">
        <v>1103</v>
      </c>
      <c r="D9" s="39" t="s">
        <v>1133</v>
      </c>
      <c r="E9" s="159" t="s">
        <v>1134</v>
      </c>
      <c r="F9" s="159" t="s">
        <v>1135</v>
      </c>
      <c r="G9" s="38">
        <v>20111</v>
      </c>
      <c r="H9" s="105" t="s">
        <v>1136</v>
      </c>
      <c r="I9" s="105" t="s">
        <v>1137</v>
      </c>
      <c r="J9" s="38" t="s">
        <v>1109</v>
      </c>
      <c r="K9" s="39" t="s">
        <v>1138</v>
      </c>
      <c r="L9" s="38"/>
      <c r="M9" s="38"/>
      <c r="N9" s="106"/>
    </row>
    <row r="10" spans="1:14" ht="108">
      <c r="A10" s="219" t="s">
        <v>1139</v>
      </c>
      <c r="B10" s="169" t="s">
        <v>1140</v>
      </c>
      <c r="C10" s="161" t="s">
        <v>1103</v>
      </c>
      <c r="D10" s="161" t="s">
        <v>1141</v>
      </c>
      <c r="E10" s="218" t="s">
        <v>1142</v>
      </c>
      <c r="F10" s="218" t="s">
        <v>1143</v>
      </c>
      <c r="G10" s="161">
        <v>20211</v>
      </c>
      <c r="H10" s="162" t="s">
        <v>1144</v>
      </c>
      <c r="I10" s="162" t="s">
        <v>1145</v>
      </c>
      <c r="J10" s="161" t="s">
        <v>1109</v>
      </c>
      <c r="K10" s="239" t="s">
        <v>1146</v>
      </c>
      <c r="L10" s="38"/>
      <c r="M10" s="38"/>
      <c r="N10" s="106"/>
    </row>
    <row r="11" spans="1:14" ht="24">
      <c r="A11" s="161" t="s">
        <v>1111</v>
      </c>
      <c r="B11" s="169" t="s">
        <v>1147</v>
      </c>
      <c r="C11" s="161" t="s">
        <v>1103</v>
      </c>
      <c r="D11" s="161" t="s">
        <v>1148</v>
      </c>
      <c r="E11" s="218" t="s">
        <v>1149</v>
      </c>
      <c r="F11" s="218" t="s">
        <v>1150</v>
      </c>
      <c r="G11" s="161">
        <v>20211</v>
      </c>
      <c r="H11" s="162" t="s">
        <v>1151</v>
      </c>
      <c r="I11" s="162" t="s">
        <v>1152</v>
      </c>
      <c r="J11" s="161" t="s">
        <v>1109</v>
      </c>
      <c r="K11" s="240"/>
      <c r="L11" s="38"/>
      <c r="M11" s="38"/>
      <c r="N11" s="106"/>
    </row>
    <row r="12" spans="1:14" ht="24">
      <c r="A12" s="161" t="s">
        <v>1111</v>
      </c>
      <c r="B12" s="169" t="s">
        <v>1140</v>
      </c>
      <c r="C12" s="161" t="s">
        <v>1103</v>
      </c>
      <c r="D12" s="161" t="s">
        <v>1153</v>
      </c>
      <c r="E12" s="218" t="s">
        <v>1154</v>
      </c>
      <c r="F12" s="218" t="s">
        <v>1155</v>
      </c>
      <c r="G12" s="161">
        <v>20211</v>
      </c>
      <c r="H12" s="162" t="s">
        <v>1156</v>
      </c>
      <c r="I12" s="162" t="s">
        <v>1157</v>
      </c>
      <c r="J12" s="161" t="s">
        <v>1109</v>
      </c>
      <c r="K12" s="240"/>
      <c r="L12" s="38"/>
      <c r="M12" s="38"/>
      <c r="N12" s="106"/>
    </row>
    <row r="13" spans="1:14" ht="24">
      <c r="A13" s="38" t="s">
        <v>1111</v>
      </c>
      <c r="B13" s="39" t="s">
        <v>1140</v>
      </c>
      <c r="C13" s="38" t="s">
        <v>1103</v>
      </c>
      <c r="D13" s="38" t="s">
        <v>1158</v>
      </c>
      <c r="E13" s="159" t="s">
        <v>1159</v>
      </c>
      <c r="F13" s="159" t="s">
        <v>1160</v>
      </c>
      <c r="G13" s="38">
        <v>20211</v>
      </c>
      <c r="H13" s="105" t="s">
        <v>1161</v>
      </c>
      <c r="I13" s="105" t="s">
        <v>1162</v>
      </c>
      <c r="J13" s="38" t="s">
        <v>1109</v>
      </c>
      <c r="K13" s="240"/>
      <c r="L13" s="38"/>
      <c r="M13" s="38"/>
      <c r="N13" s="106"/>
    </row>
    <row r="14" spans="1:14" ht="54" customHeight="1">
      <c r="A14" s="38" t="s">
        <v>1111</v>
      </c>
      <c r="B14" s="39" t="s">
        <v>1140</v>
      </c>
      <c r="C14" s="38" t="s">
        <v>1103</v>
      </c>
      <c r="D14" s="38" t="s">
        <v>1163</v>
      </c>
      <c r="E14" s="159" t="s">
        <v>1164</v>
      </c>
      <c r="F14" s="159" t="s">
        <v>1165</v>
      </c>
      <c r="G14" s="38">
        <v>20211</v>
      </c>
      <c r="H14" s="105" t="s">
        <v>1166</v>
      </c>
      <c r="I14" s="105" t="s">
        <v>192</v>
      </c>
      <c r="J14" s="38" t="s">
        <v>1109</v>
      </c>
      <c r="K14" s="240"/>
      <c r="L14" s="38"/>
      <c r="M14" s="38"/>
      <c r="N14" s="106"/>
    </row>
    <row r="15" spans="1:14" ht="24">
      <c r="A15" s="38" t="s">
        <v>1111</v>
      </c>
      <c r="B15" s="39" t="s">
        <v>1140</v>
      </c>
      <c r="C15" s="38" t="s">
        <v>1103</v>
      </c>
      <c r="D15" s="39" t="s">
        <v>1167</v>
      </c>
      <c r="E15" s="159" t="s">
        <v>1168</v>
      </c>
      <c r="F15" s="159" t="s">
        <v>1169</v>
      </c>
      <c r="G15" s="39">
        <v>20211</v>
      </c>
      <c r="H15" s="105" t="s">
        <v>1170</v>
      </c>
      <c r="I15" s="105" t="s">
        <v>1171</v>
      </c>
      <c r="J15" s="38" t="s">
        <v>1109</v>
      </c>
      <c r="K15" s="240"/>
      <c r="L15" s="38"/>
      <c r="M15" s="38"/>
      <c r="N15" s="106"/>
    </row>
    <row r="16" spans="1:14" ht="24">
      <c r="A16" s="38" t="s">
        <v>1111</v>
      </c>
      <c r="B16" s="38" t="s">
        <v>1172</v>
      </c>
      <c r="C16" s="38" t="s">
        <v>1103</v>
      </c>
      <c r="D16" s="39" t="s">
        <v>1173</v>
      </c>
      <c r="E16" s="159" t="s">
        <v>1174</v>
      </c>
      <c r="F16" s="159" t="s">
        <v>1175</v>
      </c>
      <c r="G16" s="38">
        <v>20211</v>
      </c>
      <c r="H16" s="105" t="s">
        <v>1151</v>
      </c>
      <c r="I16" s="105" t="s">
        <v>1176</v>
      </c>
      <c r="J16" s="38" t="s">
        <v>1109</v>
      </c>
      <c r="K16" s="240"/>
      <c r="L16" s="38"/>
      <c r="M16" s="38"/>
      <c r="N16" s="106"/>
    </row>
    <row r="17" spans="1:14" ht="24">
      <c r="A17" s="170" t="s">
        <v>1111</v>
      </c>
      <c r="B17" s="171" t="s">
        <v>1140</v>
      </c>
      <c r="C17" s="170" t="s">
        <v>1103</v>
      </c>
      <c r="D17" s="171" t="s">
        <v>1177</v>
      </c>
      <c r="E17" s="171">
        <v>10222</v>
      </c>
      <c r="F17" s="171">
        <v>11222</v>
      </c>
      <c r="G17" s="171">
        <v>20211</v>
      </c>
      <c r="H17" s="172" t="s">
        <v>1178</v>
      </c>
      <c r="I17" s="172" t="s">
        <v>1179</v>
      </c>
      <c r="J17" s="170" t="s">
        <v>1109</v>
      </c>
      <c r="K17" s="241"/>
      <c r="L17" s="38"/>
      <c r="M17" s="38"/>
      <c r="N17" s="106"/>
    </row>
    <row r="18" spans="1:14" ht="84">
      <c r="A18" s="38" t="s">
        <v>1111</v>
      </c>
      <c r="B18" s="39" t="s">
        <v>1180</v>
      </c>
      <c r="C18" s="38" t="s">
        <v>1103</v>
      </c>
      <c r="D18" s="38" t="s">
        <v>1181</v>
      </c>
      <c r="E18" s="159" t="s">
        <v>1182</v>
      </c>
      <c r="F18" s="159" t="s">
        <v>1183</v>
      </c>
      <c r="G18" s="159" t="s">
        <v>1184</v>
      </c>
      <c r="H18" s="105" t="s">
        <v>1185</v>
      </c>
      <c r="I18" s="105" t="s">
        <v>1186</v>
      </c>
      <c r="J18" s="38" t="s">
        <v>1109</v>
      </c>
      <c r="K18" s="39" t="s">
        <v>1187</v>
      </c>
      <c r="L18" s="38"/>
      <c r="M18" s="38"/>
      <c r="N18" s="106"/>
    </row>
    <row r="19" spans="1:14" ht="36">
      <c r="A19" s="38" t="s">
        <v>1111</v>
      </c>
      <c r="B19" s="39" t="s">
        <v>1188</v>
      </c>
      <c r="C19" s="38" t="s">
        <v>1103</v>
      </c>
      <c r="D19" s="38" t="s">
        <v>1189</v>
      </c>
      <c r="E19" s="159" t="s">
        <v>1190</v>
      </c>
      <c r="F19" s="159" t="s">
        <v>1191</v>
      </c>
      <c r="G19" s="38">
        <v>20411</v>
      </c>
      <c r="H19" s="105" t="s">
        <v>1192</v>
      </c>
      <c r="I19" s="105" t="s">
        <v>1193</v>
      </c>
      <c r="J19" s="38" t="s">
        <v>1109</v>
      </c>
      <c r="K19" s="242" t="s">
        <v>1194</v>
      </c>
      <c r="L19" s="38"/>
      <c r="M19" s="163"/>
      <c r="N19" s="106"/>
    </row>
    <row r="20" spans="1:14" ht="24">
      <c r="A20" s="170" t="s">
        <v>1111</v>
      </c>
      <c r="B20" s="170" t="s">
        <v>1195</v>
      </c>
      <c r="C20" s="170" t="s">
        <v>1103</v>
      </c>
      <c r="D20" s="170" t="s">
        <v>1196</v>
      </c>
      <c r="E20" s="170">
        <v>10418</v>
      </c>
      <c r="F20" s="170">
        <v>11418</v>
      </c>
      <c r="G20" s="170">
        <v>20411</v>
      </c>
      <c r="H20" s="172" t="s">
        <v>1192</v>
      </c>
      <c r="I20" s="172" t="s">
        <v>1193</v>
      </c>
      <c r="J20" s="170" t="s">
        <v>1109</v>
      </c>
      <c r="K20" s="243"/>
      <c r="L20" s="38"/>
      <c r="M20" s="163"/>
      <c r="N20" s="106"/>
    </row>
    <row r="21" spans="1:14" ht="36">
      <c r="A21" s="38" t="s">
        <v>1111</v>
      </c>
      <c r="B21" s="39" t="s">
        <v>1188</v>
      </c>
      <c r="C21" s="38" t="s">
        <v>1103</v>
      </c>
      <c r="D21" s="38" t="s">
        <v>1197</v>
      </c>
      <c r="E21" s="159" t="s">
        <v>1198</v>
      </c>
      <c r="F21" s="159" t="s">
        <v>1199</v>
      </c>
      <c r="G21" s="38">
        <v>20411</v>
      </c>
      <c r="H21" s="105" t="s">
        <v>1200</v>
      </c>
      <c r="I21" s="105" t="s">
        <v>253</v>
      </c>
      <c r="J21" s="38" t="s">
        <v>1109</v>
      </c>
      <c r="K21" s="243"/>
      <c r="L21" s="38"/>
      <c r="M21" s="164"/>
      <c r="N21" s="106"/>
    </row>
    <row r="22" spans="1:14" ht="36">
      <c r="A22" s="38" t="s">
        <v>1111</v>
      </c>
      <c r="B22" s="39" t="s">
        <v>1188</v>
      </c>
      <c r="C22" s="38" t="s">
        <v>1103</v>
      </c>
      <c r="D22" s="38" t="s">
        <v>1201</v>
      </c>
      <c r="E22" s="159" t="s">
        <v>1202</v>
      </c>
      <c r="F22" s="159" t="s">
        <v>1203</v>
      </c>
      <c r="G22" s="38">
        <v>20411</v>
      </c>
      <c r="H22" s="105" t="s">
        <v>1204</v>
      </c>
      <c r="I22" s="105" t="s">
        <v>1205</v>
      </c>
      <c r="J22" s="38" t="s">
        <v>1109</v>
      </c>
      <c r="K22" s="243"/>
      <c r="L22" s="38"/>
      <c r="M22" s="164"/>
      <c r="N22" s="106"/>
    </row>
    <row r="23" spans="1:14" ht="36">
      <c r="A23" s="38" t="s">
        <v>1111</v>
      </c>
      <c r="B23" s="39" t="s">
        <v>1188</v>
      </c>
      <c r="C23" s="38" t="s">
        <v>1103</v>
      </c>
      <c r="D23" s="38" t="s">
        <v>1206</v>
      </c>
      <c r="E23" s="159" t="s">
        <v>1207</v>
      </c>
      <c r="F23" s="159" t="s">
        <v>1208</v>
      </c>
      <c r="G23" s="38">
        <v>20411</v>
      </c>
      <c r="H23" s="105" t="s">
        <v>1209</v>
      </c>
      <c r="I23" s="105" t="s">
        <v>259</v>
      </c>
      <c r="J23" s="38" t="s">
        <v>1109</v>
      </c>
      <c r="K23" s="243"/>
      <c r="L23" s="38"/>
      <c r="M23" s="164"/>
      <c r="N23" s="106"/>
    </row>
    <row r="24" spans="1:14" ht="96">
      <c r="A24" s="38" t="s">
        <v>1111</v>
      </c>
      <c r="B24" s="39" t="s">
        <v>1188</v>
      </c>
      <c r="C24" s="38" t="s">
        <v>1103</v>
      </c>
      <c r="D24" s="39" t="s">
        <v>1210</v>
      </c>
      <c r="E24" s="159" t="s">
        <v>1211</v>
      </c>
      <c r="F24" s="159" t="s">
        <v>1212</v>
      </c>
      <c r="G24" s="38">
        <v>20411</v>
      </c>
      <c r="H24" s="105" t="s">
        <v>1113</v>
      </c>
      <c r="I24" s="105" t="s">
        <v>1114</v>
      </c>
      <c r="J24" s="38" t="s">
        <v>1213</v>
      </c>
      <c r="K24" s="243"/>
      <c r="L24" s="38"/>
      <c r="M24" s="164"/>
      <c r="N24" s="106"/>
    </row>
    <row r="25" spans="1:14" ht="48">
      <c r="A25" s="38" t="s">
        <v>1111</v>
      </c>
      <c r="B25" s="39" t="s">
        <v>1195</v>
      </c>
      <c r="C25" s="38" t="s">
        <v>1103</v>
      </c>
      <c r="D25" s="39" t="s">
        <v>1214</v>
      </c>
      <c r="E25" s="159" t="s">
        <v>1215</v>
      </c>
      <c r="F25" s="159" t="s">
        <v>1216</v>
      </c>
      <c r="G25" s="38">
        <v>20411</v>
      </c>
      <c r="H25" s="105" t="s">
        <v>1217</v>
      </c>
      <c r="I25" s="105" t="s">
        <v>1218</v>
      </c>
      <c r="J25" s="38" t="s">
        <v>1109</v>
      </c>
      <c r="K25" s="244"/>
      <c r="L25" s="38"/>
      <c r="M25" s="164"/>
      <c r="N25" s="106"/>
    </row>
  </sheetData>
  <autoFilter ref="A2:N25" xr:uid="{00000000-0009-0000-0000-000004000000}"/>
  <mergeCells count="3">
    <mergeCell ref="K3:K8"/>
    <mergeCell ref="K10:K17"/>
    <mergeCell ref="K19:K25"/>
  </mergeCells>
  <phoneticPr fontId="27" type="noConversion"/>
  <pageMargins left="0.69972223043441772" right="0.69972223043441772" top="0.75" bottom="0.75" header="0.30000001192092896" footer="0.30000001192092896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6"/>
  <sheetViews>
    <sheetView zoomScaleNormal="100" zoomScaleSheetLayoutView="75" workbookViewId="0">
      <pane xSplit="2" ySplit="3" topLeftCell="C4" activePane="bottomRight" state="frozen"/>
      <selection pane="bottomRight" activeCell="L18" sqref="L18:L26"/>
      <selection pane="bottomLeft"/>
      <selection pane="topRight"/>
    </sheetView>
  </sheetViews>
  <sheetFormatPr defaultColWidth="9" defaultRowHeight="12"/>
  <cols>
    <col min="1" max="1" width="10.875" style="90" customWidth="1"/>
    <col min="2" max="2" width="14.375" style="91" bestFit="1" customWidth="1"/>
    <col min="3" max="3" width="30.25" style="91" bestFit="1" customWidth="1"/>
    <col min="4" max="4" width="11.25" style="90" bestFit="1" customWidth="1"/>
    <col min="5" max="5" width="7.5" style="91" bestFit="1" customWidth="1"/>
    <col min="6" max="6" width="9" style="91" bestFit="1" customWidth="1"/>
    <col min="7" max="7" width="7.75" style="91" bestFit="1" customWidth="1"/>
    <col min="8" max="8" width="31.875" style="91" bestFit="1" customWidth="1"/>
    <col min="9" max="9" width="11.625" style="90" bestFit="1" customWidth="1"/>
    <col min="10" max="10" width="7.5" style="91" bestFit="1" customWidth="1"/>
    <col min="11" max="11" width="9" style="91" bestFit="1" customWidth="1"/>
    <col min="12" max="12" width="7.75" style="91" bestFit="1" customWidth="1"/>
    <col min="13" max="13" width="9" style="90" bestFit="1" customWidth="1"/>
    <col min="14" max="14" width="21.5" style="91" customWidth="1"/>
    <col min="15" max="15" width="7.5" style="90" bestFit="1" customWidth="1"/>
    <col min="16" max="16" width="22.75" style="90" bestFit="1" customWidth="1"/>
    <col min="17" max="17" width="8.5" style="92" bestFit="1" customWidth="1"/>
    <col min="18" max="18" width="19.875" style="91" bestFit="1" customWidth="1"/>
    <col min="19" max="259" width="9" style="91"/>
    <col min="260" max="260" width="8.375" style="91" bestFit="1" customWidth="1"/>
    <col min="261" max="261" width="14.375" style="91" bestFit="1" customWidth="1"/>
    <col min="262" max="262" width="7.5" style="91" bestFit="1" customWidth="1"/>
    <col min="263" max="263" width="9" style="91" bestFit="1" customWidth="1"/>
    <col min="264" max="264" width="11.25" style="91" bestFit="1" customWidth="1"/>
    <col min="265" max="265" width="40.75" style="91" customWidth="1"/>
    <col min="266" max="266" width="14.625" style="91" bestFit="1" customWidth="1"/>
    <col min="267" max="267" width="54.875" style="91" customWidth="1"/>
    <col min="268" max="268" width="11.25" style="91" bestFit="1" customWidth="1"/>
    <col min="269" max="269" width="9" style="91" bestFit="1" customWidth="1"/>
    <col min="270" max="270" width="10.375" style="91" bestFit="1" customWidth="1"/>
    <col min="271" max="271" width="7.5" style="91" bestFit="1" customWidth="1"/>
    <col min="272" max="272" width="22.75" style="91" bestFit="1" customWidth="1"/>
    <col min="273" max="273" width="8.5" style="91" bestFit="1" customWidth="1"/>
    <col min="274" max="274" width="19.875" style="91" bestFit="1" customWidth="1"/>
    <col min="275" max="515" width="9" style="91"/>
    <col min="516" max="516" width="8.375" style="91" bestFit="1" customWidth="1"/>
    <col min="517" max="517" width="14.375" style="91" bestFit="1" customWidth="1"/>
    <col min="518" max="518" width="7.5" style="91" bestFit="1" customWidth="1"/>
    <col min="519" max="519" width="9" style="91" bestFit="1" customWidth="1"/>
    <col min="520" max="520" width="11.25" style="91" bestFit="1" customWidth="1"/>
    <col min="521" max="521" width="40.75" style="91" customWidth="1"/>
    <col min="522" max="522" width="14.625" style="91" bestFit="1" customWidth="1"/>
    <col min="523" max="523" width="54.875" style="91" customWidth="1"/>
    <col min="524" max="524" width="11.25" style="91" bestFit="1" customWidth="1"/>
    <col min="525" max="525" width="9" style="91" bestFit="1" customWidth="1"/>
    <col min="526" max="526" width="10.375" style="91" bestFit="1" customWidth="1"/>
    <col min="527" max="527" width="7.5" style="91" bestFit="1" customWidth="1"/>
    <col min="528" max="528" width="22.75" style="91" bestFit="1" customWidth="1"/>
    <col min="529" max="529" width="8.5" style="91" bestFit="1" customWidth="1"/>
    <col min="530" max="530" width="19.875" style="91" bestFit="1" customWidth="1"/>
    <col min="531" max="771" width="9" style="91"/>
    <col min="772" max="772" width="8.375" style="91" bestFit="1" customWidth="1"/>
    <col min="773" max="773" width="14.375" style="91" bestFit="1" customWidth="1"/>
    <col min="774" max="774" width="7.5" style="91" bestFit="1" customWidth="1"/>
    <col min="775" max="775" width="9" style="91" bestFit="1" customWidth="1"/>
    <col min="776" max="776" width="11.25" style="91" bestFit="1" customWidth="1"/>
    <col min="777" max="777" width="40.75" style="91" customWidth="1"/>
    <col min="778" max="778" width="14.625" style="91" bestFit="1" customWidth="1"/>
    <col min="779" max="779" width="54.875" style="91" customWidth="1"/>
    <col min="780" max="780" width="11.25" style="91" bestFit="1" customWidth="1"/>
    <col min="781" max="781" width="9" style="91" bestFit="1" customWidth="1"/>
    <col min="782" max="782" width="10.375" style="91" bestFit="1" customWidth="1"/>
    <col min="783" max="783" width="7.5" style="91" bestFit="1" customWidth="1"/>
    <col min="784" max="784" width="22.75" style="91" bestFit="1" customWidth="1"/>
    <col min="785" max="785" width="8.5" style="91" bestFit="1" customWidth="1"/>
    <col min="786" max="786" width="19.875" style="91" bestFit="1" customWidth="1"/>
    <col min="787" max="1027" width="9" style="91"/>
    <col min="1028" max="1028" width="8.375" style="91" bestFit="1" customWidth="1"/>
    <col min="1029" max="1029" width="14.375" style="91" bestFit="1" customWidth="1"/>
    <col min="1030" max="1030" width="7.5" style="91" bestFit="1" customWidth="1"/>
    <col min="1031" max="1031" width="9" style="91" bestFit="1" customWidth="1"/>
    <col min="1032" max="1032" width="11.25" style="91" bestFit="1" customWidth="1"/>
    <col min="1033" max="1033" width="40.75" style="91" customWidth="1"/>
    <col min="1034" max="1034" width="14.625" style="91" bestFit="1" customWidth="1"/>
    <col min="1035" max="1035" width="54.875" style="91" customWidth="1"/>
    <col min="1036" max="1036" width="11.25" style="91" bestFit="1" customWidth="1"/>
    <col min="1037" max="1037" width="9" style="91" bestFit="1" customWidth="1"/>
    <col min="1038" max="1038" width="10.375" style="91" bestFit="1" customWidth="1"/>
    <col min="1039" max="1039" width="7.5" style="91" bestFit="1" customWidth="1"/>
    <col min="1040" max="1040" width="22.75" style="91" bestFit="1" customWidth="1"/>
    <col min="1041" max="1041" width="8.5" style="91" bestFit="1" customWidth="1"/>
    <col min="1042" max="1042" width="19.875" style="91" bestFit="1" customWidth="1"/>
    <col min="1043" max="1283" width="9" style="91"/>
    <col min="1284" max="1284" width="8.375" style="91" bestFit="1" customWidth="1"/>
    <col min="1285" max="1285" width="14.375" style="91" bestFit="1" customWidth="1"/>
    <col min="1286" max="1286" width="7.5" style="91" bestFit="1" customWidth="1"/>
    <col min="1287" max="1287" width="9" style="91" bestFit="1" customWidth="1"/>
    <col min="1288" max="1288" width="11.25" style="91" bestFit="1" customWidth="1"/>
    <col min="1289" max="1289" width="40.75" style="91" customWidth="1"/>
    <col min="1290" max="1290" width="14.625" style="91" bestFit="1" customWidth="1"/>
    <col min="1291" max="1291" width="54.875" style="91" customWidth="1"/>
    <col min="1292" max="1292" width="11.25" style="91" bestFit="1" customWidth="1"/>
    <col min="1293" max="1293" width="9" style="91" bestFit="1" customWidth="1"/>
    <col min="1294" max="1294" width="10.375" style="91" bestFit="1" customWidth="1"/>
    <col min="1295" max="1295" width="7.5" style="91" bestFit="1" customWidth="1"/>
    <col min="1296" max="1296" width="22.75" style="91" bestFit="1" customWidth="1"/>
    <col min="1297" max="1297" width="8.5" style="91" bestFit="1" customWidth="1"/>
    <col min="1298" max="1298" width="19.875" style="91" bestFit="1" customWidth="1"/>
    <col min="1299" max="1539" width="9" style="91"/>
    <col min="1540" max="1540" width="8.375" style="91" bestFit="1" customWidth="1"/>
    <col min="1541" max="1541" width="14.375" style="91" bestFit="1" customWidth="1"/>
    <col min="1542" max="1542" width="7.5" style="91" bestFit="1" customWidth="1"/>
    <col min="1543" max="1543" width="9" style="91" bestFit="1" customWidth="1"/>
    <col min="1544" max="1544" width="11.25" style="91" bestFit="1" customWidth="1"/>
    <col min="1545" max="1545" width="40.75" style="91" customWidth="1"/>
    <col min="1546" max="1546" width="14.625" style="91" bestFit="1" customWidth="1"/>
    <col min="1547" max="1547" width="54.875" style="91" customWidth="1"/>
    <col min="1548" max="1548" width="11.25" style="91" bestFit="1" customWidth="1"/>
    <col min="1549" max="1549" width="9" style="91" bestFit="1" customWidth="1"/>
    <col min="1550" max="1550" width="10.375" style="91" bestFit="1" customWidth="1"/>
    <col min="1551" max="1551" width="7.5" style="91" bestFit="1" customWidth="1"/>
    <col min="1552" max="1552" width="22.75" style="91" bestFit="1" customWidth="1"/>
    <col min="1553" max="1553" width="8.5" style="91" bestFit="1" customWidth="1"/>
    <col min="1554" max="1554" width="19.875" style="91" bestFit="1" customWidth="1"/>
    <col min="1555" max="1795" width="9" style="91"/>
    <col min="1796" max="1796" width="8.375" style="91" bestFit="1" customWidth="1"/>
    <col min="1797" max="1797" width="14.375" style="91" bestFit="1" customWidth="1"/>
    <col min="1798" max="1798" width="7.5" style="91" bestFit="1" customWidth="1"/>
    <col min="1799" max="1799" width="9" style="91" bestFit="1" customWidth="1"/>
    <col min="1800" max="1800" width="11.25" style="91" bestFit="1" customWidth="1"/>
    <col min="1801" max="1801" width="40.75" style="91" customWidth="1"/>
    <col min="1802" max="1802" width="14.625" style="91" bestFit="1" customWidth="1"/>
    <col min="1803" max="1803" width="54.875" style="91" customWidth="1"/>
    <col min="1804" max="1804" width="11.25" style="91" bestFit="1" customWidth="1"/>
    <col min="1805" max="1805" width="9" style="91" bestFit="1" customWidth="1"/>
    <col min="1806" max="1806" width="10.375" style="91" bestFit="1" customWidth="1"/>
    <col min="1807" max="1807" width="7.5" style="91" bestFit="1" customWidth="1"/>
    <col min="1808" max="1808" width="22.75" style="91" bestFit="1" customWidth="1"/>
    <col min="1809" max="1809" width="8.5" style="91" bestFit="1" customWidth="1"/>
    <col min="1810" max="1810" width="19.875" style="91" bestFit="1" customWidth="1"/>
    <col min="1811" max="2051" width="9" style="91"/>
    <col min="2052" max="2052" width="8.375" style="91" bestFit="1" customWidth="1"/>
    <col min="2053" max="2053" width="14.375" style="91" bestFit="1" customWidth="1"/>
    <col min="2054" max="2054" width="7.5" style="91" bestFit="1" customWidth="1"/>
    <col min="2055" max="2055" width="9" style="91" bestFit="1" customWidth="1"/>
    <col min="2056" max="2056" width="11.25" style="91" bestFit="1" customWidth="1"/>
    <col min="2057" max="2057" width="40.75" style="91" customWidth="1"/>
    <col min="2058" max="2058" width="14.625" style="91" bestFit="1" customWidth="1"/>
    <col min="2059" max="2059" width="54.875" style="91" customWidth="1"/>
    <col min="2060" max="2060" width="11.25" style="91" bestFit="1" customWidth="1"/>
    <col min="2061" max="2061" width="9" style="91" bestFit="1" customWidth="1"/>
    <col min="2062" max="2062" width="10.375" style="91" bestFit="1" customWidth="1"/>
    <col min="2063" max="2063" width="7.5" style="91" bestFit="1" customWidth="1"/>
    <col min="2064" max="2064" width="22.75" style="91" bestFit="1" customWidth="1"/>
    <col min="2065" max="2065" width="8.5" style="91" bestFit="1" customWidth="1"/>
    <col min="2066" max="2066" width="19.875" style="91" bestFit="1" customWidth="1"/>
    <col min="2067" max="2307" width="9" style="91"/>
    <col min="2308" max="2308" width="8.375" style="91" bestFit="1" customWidth="1"/>
    <col min="2309" max="2309" width="14.375" style="91" bestFit="1" customWidth="1"/>
    <col min="2310" max="2310" width="7.5" style="91" bestFit="1" customWidth="1"/>
    <col min="2311" max="2311" width="9" style="91" bestFit="1" customWidth="1"/>
    <col min="2312" max="2312" width="11.25" style="91" bestFit="1" customWidth="1"/>
    <col min="2313" max="2313" width="40.75" style="91" customWidth="1"/>
    <col min="2314" max="2314" width="14.625" style="91" bestFit="1" customWidth="1"/>
    <col min="2315" max="2315" width="54.875" style="91" customWidth="1"/>
    <col min="2316" max="2316" width="11.25" style="91" bestFit="1" customWidth="1"/>
    <col min="2317" max="2317" width="9" style="91" bestFit="1" customWidth="1"/>
    <col min="2318" max="2318" width="10.375" style="91" bestFit="1" customWidth="1"/>
    <col min="2319" max="2319" width="7.5" style="91" bestFit="1" customWidth="1"/>
    <col min="2320" max="2320" width="22.75" style="91" bestFit="1" customWidth="1"/>
    <col min="2321" max="2321" width="8.5" style="91" bestFit="1" customWidth="1"/>
    <col min="2322" max="2322" width="19.875" style="91" bestFit="1" customWidth="1"/>
    <col min="2323" max="2563" width="9" style="91"/>
    <col min="2564" max="2564" width="8.375" style="91" bestFit="1" customWidth="1"/>
    <col min="2565" max="2565" width="14.375" style="91" bestFit="1" customWidth="1"/>
    <col min="2566" max="2566" width="7.5" style="91" bestFit="1" customWidth="1"/>
    <col min="2567" max="2567" width="9" style="91" bestFit="1" customWidth="1"/>
    <col min="2568" max="2568" width="11.25" style="91" bestFit="1" customWidth="1"/>
    <col min="2569" max="2569" width="40.75" style="91" customWidth="1"/>
    <col min="2570" max="2570" width="14.625" style="91" bestFit="1" customWidth="1"/>
    <col min="2571" max="2571" width="54.875" style="91" customWidth="1"/>
    <col min="2572" max="2572" width="11.25" style="91" bestFit="1" customWidth="1"/>
    <col min="2573" max="2573" width="9" style="91" bestFit="1" customWidth="1"/>
    <col min="2574" max="2574" width="10.375" style="91" bestFit="1" customWidth="1"/>
    <col min="2575" max="2575" width="7.5" style="91" bestFit="1" customWidth="1"/>
    <col min="2576" max="2576" width="22.75" style="91" bestFit="1" customWidth="1"/>
    <col min="2577" max="2577" width="8.5" style="91" bestFit="1" customWidth="1"/>
    <col min="2578" max="2578" width="19.875" style="91" bestFit="1" customWidth="1"/>
    <col min="2579" max="2819" width="9" style="91"/>
    <col min="2820" max="2820" width="8.375" style="91" bestFit="1" customWidth="1"/>
    <col min="2821" max="2821" width="14.375" style="91" bestFit="1" customWidth="1"/>
    <col min="2822" max="2822" width="7.5" style="91" bestFit="1" customWidth="1"/>
    <col min="2823" max="2823" width="9" style="91" bestFit="1" customWidth="1"/>
    <col min="2824" max="2824" width="11.25" style="91" bestFit="1" customWidth="1"/>
    <col min="2825" max="2825" width="40.75" style="91" customWidth="1"/>
    <col min="2826" max="2826" width="14.625" style="91" bestFit="1" customWidth="1"/>
    <col min="2827" max="2827" width="54.875" style="91" customWidth="1"/>
    <col min="2828" max="2828" width="11.25" style="91" bestFit="1" customWidth="1"/>
    <col min="2829" max="2829" width="9" style="91" bestFit="1" customWidth="1"/>
    <col min="2830" max="2830" width="10.375" style="91" bestFit="1" customWidth="1"/>
    <col min="2831" max="2831" width="7.5" style="91" bestFit="1" customWidth="1"/>
    <col min="2832" max="2832" width="22.75" style="91" bestFit="1" customWidth="1"/>
    <col min="2833" max="2833" width="8.5" style="91" bestFit="1" customWidth="1"/>
    <col min="2834" max="2834" width="19.875" style="91" bestFit="1" customWidth="1"/>
    <col min="2835" max="3075" width="9" style="91"/>
    <col min="3076" max="3076" width="8.375" style="91" bestFit="1" customWidth="1"/>
    <col min="3077" max="3077" width="14.375" style="91" bestFit="1" customWidth="1"/>
    <col min="3078" max="3078" width="7.5" style="91" bestFit="1" customWidth="1"/>
    <col min="3079" max="3079" width="9" style="91" bestFit="1" customWidth="1"/>
    <col min="3080" max="3080" width="11.25" style="91" bestFit="1" customWidth="1"/>
    <col min="3081" max="3081" width="40.75" style="91" customWidth="1"/>
    <col min="3082" max="3082" width="14.625" style="91" bestFit="1" customWidth="1"/>
    <col min="3083" max="3083" width="54.875" style="91" customWidth="1"/>
    <col min="3084" max="3084" width="11.25" style="91" bestFit="1" customWidth="1"/>
    <col min="3085" max="3085" width="9" style="91" bestFit="1" customWidth="1"/>
    <col min="3086" max="3086" width="10.375" style="91" bestFit="1" customWidth="1"/>
    <col min="3087" max="3087" width="7.5" style="91" bestFit="1" customWidth="1"/>
    <col min="3088" max="3088" width="22.75" style="91" bestFit="1" customWidth="1"/>
    <col min="3089" max="3089" width="8.5" style="91" bestFit="1" customWidth="1"/>
    <col min="3090" max="3090" width="19.875" style="91" bestFit="1" customWidth="1"/>
    <col min="3091" max="3331" width="9" style="91"/>
    <col min="3332" max="3332" width="8.375" style="91" bestFit="1" customWidth="1"/>
    <col min="3333" max="3333" width="14.375" style="91" bestFit="1" customWidth="1"/>
    <col min="3334" max="3334" width="7.5" style="91" bestFit="1" customWidth="1"/>
    <col min="3335" max="3335" width="9" style="91" bestFit="1" customWidth="1"/>
    <col min="3336" max="3336" width="11.25" style="91" bestFit="1" customWidth="1"/>
    <col min="3337" max="3337" width="40.75" style="91" customWidth="1"/>
    <col min="3338" max="3338" width="14.625" style="91" bestFit="1" customWidth="1"/>
    <col min="3339" max="3339" width="54.875" style="91" customWidth="1"/>
    <col min="3340" max="3340" width="11.25" style="91" bestFit="1" customWidth="1"/>
    <col min="3341" max="3341" width="9" style="91" bestFit="1" customWidth="1"/>
    <col min="3342" max="3342" width="10.375" style="91" bestFit="1" customWidth="1"/>
    <col min="3343" max="3343" width="7.5" style="91" bestFit="1" customWidth="1"/>
    <col min="3344" max="3344" width="22.75" style="91" bestFit="1" customWidth="1"/>
    <col min="3345" max="3345" width="8.5" style="91" bestFit="1" customWidth="1"/>
    <col min="3346" max="3346" width="19.875" style="91" bestFit="1" customWidth="1"/>
    <col min="3347" max="3587" width="9" style="91"/>
    <col min="3588" max="3588" width="8.375" style="91" bestFit="1" customWidth="1"/>
    <col min="3589" max="3589" width="14.375" style="91" bestFit="1" customWidth="1"/>
    <col min="3590" max="3590" width="7.5" style="91" bestFit="1" customWidth="1"/>
    <col min="3591" max="3591" width="9" style="91" bestFit="1" customWidth="1"/>
    <col min="3592" max="3592" width="11.25" style="91" bestFit="1" customWidth="1"/>
    <col min="3593" max="3593" width="40.75" style="91" customWidth="1"/>
    <col min="3594" max="3594" width="14.625" style="91" bestFit="1" customWidth="1"/>
    <col min="3595" max="3595" width="54.875" style="91" customWidth="1"/>
    <col min="3596" max="3596" width="11.25" style="91" bestFit="1" customWidth="1"/>
    <col min="3597" max="3597" width="9" style="91" bestFit="1" customWidth="1"/>
    <col min="3598" max="3598" width="10.375" style="91" bestFit="1" customWidth="1"/>
    <col min="3599" max="3599" width="7.5" style="91" bestFit="1" customWidth="1"/>
    <col min="3600" max="3600" width="22.75" style="91" bestFit="1" customWidth="1"/>
    <col min="3601" max="3601" width="8.5" style="91" bestFit="1" customWidth="1"/>
    <col min="3602" max="3602" width="19.875" style="91" bestFit="1" customWidth="1"/>
    <col min="3603" max="3843" width="9" style="91"/>
    <col min="3844" max="3844" width="8.375" style="91" bestFit="1" customWidth="1"/>
    <col min="3845" max="3845" width="14.375" style="91" bestFit="1" customWidth="1"/>
    <col min="3846" max="3846" width="7.5" style="91" bestFit="1" customWidth="1"/>
    <col min="3847" max="3847" width="9" style="91" bestFit="1" customWidth="1"/>
    <col min="3848" max="3848" width="11.25" style="91" bestFit="1" customWidth="1"/>
    <col min="3849" max="3849" width="40.75" style="91" customWidth="1"/>
    <col min="3850" max="3850" width="14.625" style="91" bestFit="1" customWidth="1"/>
    <col min="3851" max="3851" width="54.875" style="91" customWidth="1"/>
    <col min="3852" max="3852" width="11.25" style="91" bestFit="1" customWidth="1"/>
    <col min="3853" max="3853" width="9" style="91" bestFit="1" customWidth="1"/>
    <col min="3854" max="3854" width="10.375" style="91" bestFit="1" customWidth="1"/>
    <col min="3855" max="3855" width="7.5" style="91" bestFit="1" customWidth="1"/>
    <col min="3856" max="3856" width="22.75" style="91" bestFit="1" customWidth="1"/>
    <col min="3857" max="3857" width="8.5" style="91" bestFit="1" customWidth="1"/>
    <col min="3858" max="3858" width="19.875" style="91" bestFit="1" customWidth="1"/>
    <col min="3859" max="4099" width="9" style="91"/>
    <col min="4100" max="4100" width="8.375" style="91" bestFit="1" customWidth="1"/>
    <col min="4101" max="4101" width="14.375" style="91" bestFit="1" customWidth="1"/>
    <col min="4102" max="4102" width="7.5" style="91" bestFit="1" customWidth="1"/>
    <col min="4103" max="4103" width="9" style="91" bestFit="1" customWidth="1"/>
    <col min="4104" max="4104" width="11.25" style="91" bestFit="1" customWidth="1"/>
    <col min="4105" max="4105" width="40.75" style="91" customWidth="1"/>
    <col min="4106" max="4106" width="14.625" style="91" bestFit="1" customWidth="1"/>
    <col min="4107" max="4107" width="54.875" style="91" customWidth="1"/>
    <col min="4108" max="4108" width="11.25" style="91" bestFit="1" customWidth="1"/>
    <col min="4109" max="4109" width="9" style="91" bestFit="1" customWidth="1"/>
    <col min="4110" max="4110" width="10.375" style="91" bestFit="1" customWidth="1"/>
    <col min="4111" max="4111" width="7.5" style="91" bestFit="1" customWidth="1"/>
    <col min="4112" max="4112" width="22.75" style="91" bestFit="1" customWidth="1"/>
    <col min="4113" max="4113" width="8.5" style="91" bestFit="1" customWidth="1"/>
    <col min="4114" max="4114" width="19.875" style="91" bestFit="1" customWidth="1"/>
    <col min="4115" max="4355" width="9" style="91"/>
    <col min="4356" max="4356" width="8.375" style="91" bestFit="1" customWidth="1"/>
    <col min="4357" max="4357" width="14.375" style="91" bestFit="1" customWidth="1"/>
    <col min="4358" max="4358" width="7.5" style="91" bestFit="1" customWidth="1"/>
    <col min="4359" max="4359" width="9" style="91" bestFit="1" customWidth="1"/>
    <col min="4360" max="4360" width="11.25" style="91" bestFit="1" customWidth="1"/>
    <col min="4361" max="4361" width="40.75" style="91" customWidth="1"/>
    <col min="4362" max="4362" width="14.625" style="91" bestFit="1" customWidth="1"/>
    <col min="4363" max="4363" width="54.875" style="91" customWidth="1"/>
    <col min="4364" max="4364" width="11.25" style="91" bestFit="1" customWidth="1"/>
    <col min="4365" max="4365" width="9" style="91" bestFit="1" customWidth="1"/>
    <col min="4366" max="4366" width="10.375" style="91" bestFit="1" customWidth="1"/>
    <col min="4367" max="4367" width="7.5" style="91" bestFit="1" customWidth="1"/>
    <col min="4368" max="4368" width="22.75" style="91" bestFit="1" customWidth="1"/>
    <col min="4369" max="4369" width="8.5" style="91" bestFit="1" customWidth="1"/>
    <col min="4370" max="4370" width="19.875" style="91" bestFit="1" customWidth="1"/>
    <col min="4371" max="4611" width="9" style="91"/>
    <col min="4612" max="4612" width="8.375" style="91" bestFit="1" customWidth="1"/>
    <col min="4613" max="4613" width="14.375" style="91" bestFit="1" customWidth="1"/>
    <col min="4614" max="4614" width="7.5" style="91" bestFit="1" customWidth="1"/>
    <col min="4615" max="4615" width="9" style="91" bestFit="1" customWidth="1"/>
    <col min="4616" max="4616" width="11.25" style="91" bestFit="1" customWidth="1"/>
    <col min="4617" max="4617" width="40.75" style="91" customWidth="1"/>
    <col min="4618" max="4618" width="14.625" style="91" bestFit="1" customWidth="1"/>
    <col min="4619" max="4619" width="54.875" style="91" customWidth="1"/>
    <col min="4620" max="4620" width="11.25" style="91" bestFit="1" customWidth="1"/>
    <col min="4621" max="4621" width="9" style="91" bestFit="1" customWidth="1"/>
    <col min="4622" max="4622" width="10.375" style="91" bestFit="1" customWidth="1"/>
    <col min="4623" max="4623" width="7.5" style="91" bestFit="1" customWidth="1"/>
    <col min="4624" max="4624" width="22.75" style="91" bestFit="1" customWidth="1"/>
    <col min="4625" max="4625" width="8.5" style="91" bestFit="1" customWidth="1"/>
    <col min="4626" max="4626" width="19.875" style="91" bestFit="1" customWidth="1"/>
    <col min="4627" max="4867" width="9" style="91"/>
    <col min="4868" max="4868" width="8.375" style="91" bestFit="1" customWidth="1"/>
    <col min="4869" max="4869" width="14.375" style="91" bestFit="1" customWidth="1"/>
    <col min="4870" max="4870" width="7.5" style="91" bestFit="1" customWidth="1"/>
    <col min="4871" max="4871" width="9" style="91" bestFit="1" customWidth="1"/>
    <col min="4872" max="4872" width="11.25" style="91" bestFit="1" customWidth="1"/>
    <col min="4873" max="4873" width="40.75" style="91" customWidth="1"/>
    <col min="4874" max="4874" width="14.625" style="91" bestFit="1" customWidth="1"/>
    <col min="4875" max="4875" width="54.875" style="91" customWidth="1"/>
    <col min="4876" max="4876" width="11.25" style="91" bestFit="1" customWidth="1"/>
    <col min="4877" max="4877" width="9" style="91" bestFit="1" customWidth="1"/>
    <col min="4878" max="4878" width="10.375" style="91" bestFit="1" customWidth="1"/>
    <col min="4879" max="4879" width="7.5" style="91" bestFit="1" customWidth="1"/>
    <col min="4880" max="4880" width="22.75" style="91" bestFit="1" customWidth="1"/>
    <col min="4881" max="4881" width="8.5" style="91" bestFit="1" customWidth="1"/>
    <col min="4882" max="4882" width="19.875" style="91" bestFit="1" customWidth="1"/>
    <col min="4883" max="5123" width="9" style="91"/>
    <col min="5124" max="5124" width="8.375" style="91" bestFit="1" customWidth="1"/>
    <col min="5125" max="5125" width="14.375" style="91" bestFit="1" customWidth="1"/>
    <col min="5126" max="5126" width="7.5" style="91" bestFit="1" customWidth="1"/>
    <col min="5127" max="5127" width="9" style="91" bestFit="1" customWidth="1"/>
    <col min="5128" max="5128" width="11.25" style="91" bestFit="1" customWidth="1"/>
    <col min="5129" max="5129" width="40.75" style="91" customWidth="1"/>
    <col min="5130" max="5130" width="14.625" style="91" bestFit="1" customWidth="1"/>
    <col min="5131" max="5131" width="54.875" style="91" customWidth="1"/>
    <col min="5132" max="5132" width="11.25" style="91" bestFit="1" customWidth="1"/>
    <col min="5133" max="5133" width="9" style="91" bestFit="1" customWidth="1"/>
    <col min="5134" max="5134" width="10.375" style="91" bestFit="1" customWidth="1"/>
    <col min="5135" max="5135" width="7.5" style="91" bestFit="1" customWidth="1"/>
    <col min="5136" max="5136" width="22.75" style="91" bestFit="1" customWidth="1"/>
    <col min="5137" max="5137" width="8.5" style="91" bestFit="1" customWidth="1"/>
    <col min="5138" max="5138" width="19.875" style="91" bestFit="1" customWidth="1"/>
    <col min="5139" max="5379" width="9" style="91"/>
    <col min="5380" max="5380" width="8.375" style="91" bestFit="1" customWidth="1"/>
    <col min="5381" max="5381" width="14.375" style="91" bestFit="1" customWidth="1"/>
    <col min="5382" max="5382" width="7.5" style="91" bestFit="1" customWidth="1"/>
    <col min="5383" max="5383" width="9" style="91" bestFit="1" customWidth="1"/>
    <col min="5384" max="5384" width="11.25" style="91" bestFit="1" customWidth="1"/>
    <col min="5385" max="5385" width="40.75" style="91" customWidth="1"/>
    <col min="5386" max="5386" width="14.625" style="91" bestFit="1" customWidth="1"/>
    <col min="5387" max="5387" width="54.875" style="91" customWidth="1"/>
    <col min="5388" max="5388" width="11.25" style="91" bestFit="1" customWidth="1"/>
    <col min="5389" max="5389" width="9" style="91" bestFit="1" customWidth="1"/>
    <col min="5390" max="5390" width="10.375" style="91" bestFit="1" customWidth="1"/>
    <col min="5391" max="5391" width="7.5" style="91" bestFit="1" customWidth="1"/>
    <col min="5392" max="5392" width="22.75" style="91" bestFit="1" customWidth="1"/>
    <col min="5393" max="5393" width="8.5" style="91" bestFit="1" customWidth="1"/>
    <col min="5394" max="5394" width="19.875" style="91" bestFit="1" customWidth="1"/>
    <col min="5395" max="5635" width="9" style="91"/>
    <col min="5636" max="5636" width="8.375" style="91" bestFit="1" customWidth="1"/>
    <col min="5637" max="5637" width="14.375" style="91" bestFit="1" customWidth="1"/>
    <col min="5638" max="5638" width="7.5" style="91" bestFit="1" customWidth="1"/>
    <col min="5639" max="5639" width="9" style="91" bestFit="1" customWidth="1"/>
    <col min="5640" max="5640" width="11.25" style="91" bestFit="1" customWidth="1"/>
    <col min="5641" max="5641" width="40.75" style="91" customWidth="1"/>
    <col min="5642" max="5642" width="14.625" style="91" bestFit="1" customWidth="1"/>
    <col min="5643" max="5643" width="54.875" style="91" customWidth="1"/>
    <col min="5644" max="5644" width="11.25" style="91" bestFit="1" customWidth="1"/>
    <col min="5645" max="5645" width="9" style="91" bestFit="1" customWidth="1"/>
    <col min="5646" max="5646" width="10.375" style="91" bestFit="1" customWidth="1"/>
    <col min="5647" max="5647" width="7.5" style="91" bestFit="1" customWidth="1"/>
    <col min="5648" max="5648" width="22.75" style="91" bestFit="1" customWidth="1"/>
    <col min="5649" max="5649" width="8.5" style="91" bestFit="1" customWidth="1"/>
    <col min="5650" max="5650" width="19.875" style="91" bestFit="1" customWidth="1"/>
    <col min="5651" max="5891" width="9" style="91"/>
    <col min="5892" max="5892" width="8.375" style="91" bestFit="1" customWidth="1"/>
    <col min="5893" max="5893" width="14.375" style="91" bestFit="1" customWidth="1"/>
    <col min="5894" max="5894" width="7.5" style="91" bestFit="1" customWidth="1"/>
    <col min="5895" max="5895" width="9" style="91" bestFit="1" customWidth="1"/>
    <col min="5896" max="5896" width="11.25" style="91" bestFit="1" customWidth="1"/>
    <col min="5897" max="5897" width="40.75" style="91" customWidth="1"/>
    <col min="5898" max="5898" width="14.625" style="91" bestFit="1" customWidth="1"/>
    <col min="5899" max="5899" width="54.875" style="91" customWidth="1"/>
    <col min="5900" max="5900" width="11.25" style="91" bestFit="1" customWidth="1"/>
    <col min="5901" max="5901" width="9" style="91" bestFit="1" customWidth="1"/>
    <col min="5902" max="5902" width="10.375" style="91" bestFit="1" customWidth="1"/>
    <col min="5903" max="5903" width="7.5" style="91" bestFit="1" customWidth="1"/>
    <col min="5904" max="5904" width="22.75" style="91" bestFit="1" customWidth="1"/>
    <col min="5905" max="5905" width="8.5" style="91" bestFit="1" customWidth="1"/>
    <col min="5906" max="5906" width="19.875" style="91" bestFit="1" customWidth="1"/>
    <col min="5907" max="6147" width="9" style="91"/>
    <col min="6148" max="6148" width="8.375" style="91" bestFit="1" customWidth="1"/>
    <col min="6149" max="6149" width="14.375" style="91" bestFit="1" customWidth="1"/>
    <col min="6150" max="6150" width="7.5" style="91" bestFit="1" customWidth="1"/>
    <col min="6151" max="6151" width="9" style="91" bestFit="1" customWidth="1"/>
    <col min="6152" max="6152" width="11.25" style="91" bestFit="1" customWidth="1"/>
    <col min="6153" max="6153" width="40.75" style="91" customWidth="1"/>
    <col min="6154" max="6154" width="14.625" style="91" bestFit="1" customWidth="1"/>
    <col min="6155" max="6155" width="54.875" style="91" customWidth="1"/>
    <col min="6156" max="6156" width="11.25" style="91" bestFit="1" customWidth="1"/>
    <col min="6157" max="6157" width="9" style="91" bestFit="1" customWidth="1"/>
    <col min="6158" max="6158" width="10.375" style="91" bestFit="1" customWidth="1"/>
    <col min="6159" max="6159" width="7.5" style="91" bestFit="1" customWidth="1"/>
    <col min="6160" max="6160" width="22.75" style="91" bestFit="1" customWidth="1"/>
    <col min="6161" max="6161" width="8.5" style="91" bestFit="1" customWidth="1"/>
    <col min="6162" max="6162" width="19.875" style="91" bestFit="1" customWidth="1"/>
    <col min="6163" max="6403" width="9" style="91"/>
    <col min="6404" max="6404" width="8.375" style="91" bestFit="1" customWidth="1"/>
    <col min="6405" max="6405" width="14.375" style="91" bestFit="1" customWidth="1"/>
    <col min="6406" max="6406" width="7.5" style="91" bestFit="1" customWidth="1"/>
    <col min="6407" max="6407" width="9" style="91" bestFit="1" customWidth="1"/>
    <col min="6408" max="6408" width="11.25" style="91" bestFit="1" customWidth="1"/>
    <col min="6409" max="6409" width="40.75" style="91" customWidth="1"/>
    <col min="6410" max="6410" width="14.625" style="91" bestFit="1" customWidth="1"/>
    <col min="6411" max="6411" width="54.875" style="91" customWidth="1"/>
    <col min="6412" max="6412" width="11.25" style="91" bestFit="1" customWidth="1"/>
    <col min="6413" max="6413" width="9" style="91" bestFit="1" customWidth="1"/>
    <col min="6414" max="6414" width="10.375" style="91" bestFit="1" customWidth="1"/>
    <col min="6415" max="6415" width="7.5" style="91" bestFit="1" customWidth="1"/>
    <col min="6416" max="6416" width="22.75" style="91" bestFit="1" customWidth="1"/>
    <col min="6417" max="6417" width="8.5" style="91" bestFit="1" customWidth="1"/>
    <col min="6418" max="6418" width="19.875" style="91" bestFit="1" customWidth="1"/>
    <col min="6419" max="6659" width="9" style="91"/>
    <col min="6660" max="6660" width="8.375" style="91" bestFit="1" customWidth="1"/>
    <col min="6661" max="6661" width="14.375" style="91" bestFit="1" customWidth="1"/>
    <col min="6662" max="6662" width="7.5" style="91" bestFit="1" customWidth="1"/>
    <col min="6663" max="6663" width="9" style="91" bestFit="1" customWidth="1"/>
    <col min="6664" max="6664" width="11.25" style="91" bestFit="1" customWidth="1"/>
    <col min="6665" max="6665" width="40.75" style="91" customWidth="1"/>
    <col min="6666" max="6666" width="14.625" style="91" bestFit="1" customWidth="1"/>
    <col min="6667" max="6667" width="54.875" style="91" customWidth="1"/>
    <col min="6668" max="6668" width="11.25" style="91" bestFit="1" customWidth="1"/>
    <col min="6669" max="6669" width="9" style="91" bestFit="1" customWidth="1"/>
    <col min="6670" max="6670" width="10.375" style="91" bestFit="1" customWidth="1"/>
    <col min="6671" max="6671" width="7.5" style="91" bestFit="1" customWidth="1"/>
    <col min="6672" max="6672" width="22.75" style="91" bestFit="1" customWidth="1"/>
    <col min="6673" max="6673" width="8.5" style="91" bestFit="1" customWidth="1"/>
    <col min="6674" max="6674" width="19.875" style="91" bestFit="1" customWidth="1"/>
    <col min="6675" max="6915" width="9" style="91"/>
    <col min="6916" max="6916" width="8.375" style="91" bestFit="1" customWidth="1"/>
    <col min="6917" max="6917" width="14.375" style="91" bestFit="1" customWidth="1"/>
    <col min="6918" max="6918" width="7.5" style="91" bestFit="1" customWidth="1"/>
    <col min="6919" max="6919" width="9" style="91" bestFit="1" customWidth="1"/>
    <col min="6920" max="6920" width="11.25" style="91" bestFit="1" customWidth="1"/>
    <col min="6921" max="6921" width="40.75" style="91" customWidth="1"/>
    <col min="6922" max="6922" width="14.625" style="91" bestFit="1" customWidth="1"/>
    <col min="6923" max="6923" width="54.875" style="91" customWidth="1"/>
    <col min="6924" max="6924" width="11.25" style="91" bestFit="1" customWidth="1"/>
    <col min="6925" max="6925" width="9" style="91" bestFit="1" customWidth="1"/>
    <col min="6926" max="6926" width="10.375" style="91" bestFit="1" customWidth="1"/>
    <col min="6927" max="6927" width="7.5" style="91" bestFit="1" customWidth="1"/>
    <col min="6928" max="6928" width="22.75" style="91" bestFit="1" customWidth="1"/>
    <col min="6929" max="6929" width="8.5" style="91" bestFit="1" customWidth="1"/>
    <col min="6930" max="6930" width="19.875" style="91" bestFit="1" customWidth="1"/>
    <col min="6931" max="7171" width="9" style="91"/>
    <col min="7172" max="7172" width="8.375" style="91" bestFit="1" customWidth="1"/>
    <col min="7173" max="7173" width="14.375" style="91" bestFit="1" customWidth="1"/>
    <col min="7174" max="7174" width="7.5" style="91" bestFit="1" customWidth="1"/>
    <col min="7175" max="7175" width="9" style="91" bestFit="1" customWidth="1"/>
    <col min="7176" max="7176" width="11.25" style="91" bestFit="1" customWidth="1"/>
    <col min="7177" max="7177" width="40.75" style="91" customWidth="1"/>
    <col min="7178" max="7178" width="14.625" style="91" bestFit="1" customWidth="1"/>
    <col min="7179" max="7179" width="54.875" style="91" customWidth="1"/>
    <col min="7180" max="7180" width="11.25" style="91" bestFit="1" customWidth="1"/>
    <col min="7181" max="7181" width="9" style="91" bestFit="1" customWidth="1"/>
    <col min="7182" max="7182" width="10.375" style="91" bestFit="1" customWidth="1"/>
    <col min="7183" max="7183" width="7.5" style="91" bestFit="1" customWidth="1"/>
    <col min="7184" max="7184" width="22.75" style="91" bestFit="1" customWidth="1"/>
    <col min="7185" max="7185" width="8.5" style="91" bestFit="1" customWidth="1"/>
    <col min="7186" max="7186" width="19.875" style="91" bestFit="1" customWidth="1"/>
    <col min="7187" max="7427" width="9" style="91"/>
    <col min="7428" max="7428" width="8.375" style="91" bestFit="1" customWidth="1"/>
    <col min="7429" max="7429" width="14.375" style="91" bestFit="1" customWidth="1"/>
    <col min="7430" max="7430" width="7.5" style="91" bestFit="1" customWidth="1"/>
    <col min="7431" max="7431" width="9" style="91" bestFit="1" customWidth="1"/>
    <col min="7432" max="7432" width="11.25" style="91" bestFit="1" customWidth="1"/>
    <col min="7433" max="7433" width="40.75" style="91" customWidth="1"/>
    <col min="7434" max="7434" width="14.625" style="91" bestFit="1" customWidth="1"/>
    <col min="7435" max="7435" width="54.875" style="91" customWidth="1"/>
    <col min="7436" max="7436" width="11.25" style="91" bestFit="1" customWidth="1"/>
    <col min="7437" max="7437" width="9" style="91" bestFit="1" customWidth="1"/>
    <col min="7438" max="7438" width="10.375" style="91" bestFit="1" customWidth="1"/>
    <col min="7439" max="7439" width="7.5" style="91" bestFit="1" customWidth="1"/>
    <col min="7440" max="7440" width="22.75" style="91" bestFit="1" customWidth="1"/>
    <col min="7441" max="7441" width="8.5" style="91" bestFit="1" customWidth="1"/>
    <col min="7442" max="7442" width="19.875" style="91" bestFit="1" customWidth="1"/>
    <col min="7443" max="7683" width="9" style="91"/>
    <col min="7684" max="7684" width="8.375" style="91" bestFit="1" customWidth="1"/>
    <col min="7685" max="7685" width="14.375" style="91" bestFit="1" customWidth="1"/>
    <col min="7686" max="7686" width="7.5" style="91" bestFit="1" customWidth="1"/>
    <col min="7687" max="7687" width="9" style="91" bestFit="1" customWidth="1"/>
    <col min="7688" max="7688" width="11.25" style="91" bestFit="1" customWidth="1"/>
    <col min="7689" max="7689" width="40.75" style="91" customWidth="1"/>
    <col min="7690" max="7690" width="14.625" style="91" bestFit="1" customWidth="1"/>
    <col min="7691" max="7691" width="54.875" style="91" customWidth="1"/>
    <col min="7692" max="7692" width="11.25" style="91" bestFit="1" customWidth="1"/>
    <col min="7693" max="7693" width="9" style="91" bestFit="1" customWidth="1"/>
    <col min="7694" max="7694" width="10.375" style="91" bestFit="1" customWidth="1"/>
    <col min="7695" max="7695" width="7.5" style="91" bestFit="1" customWidth="1"/>
    <col min="7696" max="7696" width="22.75" style="91" bestFit="1" customWidth="1"/>
    <col min="7697" max="7697" width="8.5" style="91" bestFit="1" customWidth="1"/>
    <col min="7698" max="7698" width="19.875" style="91" bestFit="1" customWidth="1"/>
    <col min="7699" max="7939" width="9" style="91"/>
    <col min="7940" max="7940" width="8.375" style="91" bestFit="1" customWidth="1"/>
    <col min="7941" max="7941" width="14.375" style="91" bestFit="1" customWidth="1"/>
    <col min="7942" max="7942" width="7.5" style="91" bestFit="1" customWidth="1"/>
    <col min="7943" max="7943" width="9" style="91" bestFit="1" customWidth="1"/>
    <col min="7944" max="7944" width="11.25" style="91" bestFit="1" customWidth="1"/>
    <col min="7945" max="7945" width="40.75" style="91" customWidth="1"/>
    <col min="7946" max="7946" width="14.625" style="91" bestFit="1" customWidth="1"/>
    <col min="7947" max="7947" width="54.875" style="91" customWidth="1"/>
    <col min="7948" max="7948" width="11.25" style="91" bestFit="1" customWidth="1"/>
    <col min="7949" max="7949" width="9" style="91" bestFit="1" customWidth="1"/>
    <col min="7950" max="7950" width="10.375" style="91" bestFit="1" customWidth="1"/>
    <col min="7951" max="7951" width="7.5" style="91" bestFit="1" customWidth="1"/>
    <col min="7952" max="7952" width="22.75" style="91" bestFit="1" customWidth="1"/>
    <col min="7953" max="7953" width="8.5" style="91" bestFit="1" customWidth="1"/>
    <col min="7954" max="7954" width="19.875" style="91" bestFit="1" customWidth="1"/>
    <col min="7955" max="8195" width="9" style="91"/>
    <col min="8196" max="8196" width="8.375" style="91" bestFit="1" customWidth="1"/>
    <col min="8197" max="8197" width="14.375" style="91" bestFit="1" customWidth="1"/>
    <col min="8198" max="8198" width="7.5" style="91" bestFit="1" customWidth="1"/>
    <col min="8199" max="8199" width="9" style="91" bestFit="1" customWidth="1"/>
    <col min="8200" max="8200" width="11.25" style="91" bestFit="1" customWidth="1"/>
    <col min="8201" max="8201" width="40.75" style="91" customWidth="1"/>
    <col min="8202" max="8202" width="14.625" style="91" bestFit="1" customWidth="1"/>
    <col min="8203" max="8203" width="54.875" style="91" customWidth="1"/>
    <col min="8204" max="8204" width="11.25" style="91" bestFit="1" customWidth="1"/>
    <col min="8205" max="8205" width="9" style="91" bestFit="1" customWidth="1"/>
    <col min="8206" max="8206" width="10.375" style="91" bestFit="1" customWidth="1"/>
    <col min="8207" max="8207" width="7.5" style="91" bestFit="1" customWidth="1"/>
    <col min="8208" max="8208" width="22.75" style="91" bestFit="1" customWidth="1"/>
    <col min="8209" max="8209" width="8.5" style="91" bestFit="1" customWidth="1"/>
    <col min="8210" max="8210" width="19.875" style="91" bestFit="1" customWidth="1"/>
    <col min="8211" max="8451" width="9" style="91"/>
    <col min="8452" max="8452" width="8.375" style="91" bestFit="1" customWidth="1"/>
    <col min="8453" max="8453" width="14.375" style="91" bestFit="1" customWidth="1"/>
    <col min="8454" max="8454" width="7.5" style="91" bestFit="1" customWidth="1"/>
    <col min="8455" max="8455" width="9" style="91" bestFit="1" customWidth="1"/>
    <col min="8456" max="8456" width="11.25" style="91" bestFit="1" customWidth="1"/>
    <col min="8457" max="8457" width="40.75" style="91" customWidth="1"/>
    <col min="8458" max="8458" width="14.625" style="91" bestFit="1" customWidth="1"/>
    <col min="8459" max="8459" width="54.875" style="91" customWidth="1"/>
    <col min="8460" max="8460" width="11.25" style="91" bestFit="1" customWidth="1"/>
    <col min="8461" max="8461" width="9" style="91" bestFit="1" customWidth="1"/>
    <col min="8462" max="8462" width="10.375" style="91" bestFit="1" customWidth="1"/>
    <col min="8463" max="8463" width="7.5" style="91" bestFit="1" customWidth="1"/>
    <col min="8464" max="8464" width="22.75" style="91" bestFit="1" customWidth="1"/>
    <col min="8465" max="8465" width="8.5" style="91" bestFit="1" customWidth="1"/>
    <col min="8466" max="8466" width="19.875" style="91" bestFit="1" customWidth="1"/>
    <col min="8467" max="8707" width="9" style="91"/>
    <col min="8708" max="8708" width="8.375" style="91" bestFit="1" customWidth="1"/>
    <col min="8709" max="8709" width="14.375" style="91" bestFit="1" customWidth="1"/>
    <col min="8710" max="8710" width="7.5" style="91" bestFit="1" customWidth="1"/>
    <col min="8711" max="8711" width="9" style="91" bestFit="1" customWidth="1"/>
    <col min="8712" max="8712" width="11.25" style="91" bestFit="1" customWidth="1"/>
    <col min="8713" max="8713" width="40.75" style="91" customWidth="1"/>
    <col min="8714" max="8714" width="14.625" style="91" bestFit="1" customWidth="1"/>
    <col min="8715" max="8715" width="54.875" style="91" customWidth="1"/>
    <col min="8716" max="8716" width="11.25" style="91" bestFit="1" customWidth="1"/>
    <col min="8717" max="8717" width="9" style="91" bestFit="1" customWidth="1"/>
    <col min="8718" max="8718" width="10.375" style="91" bestFit="1" customWidth="1"/>
    <col min="8719" max="8719" width="7.5" style="91" bestFit="1" customWidth="1"/>
    <col min="8720" max="8720" width="22.75" style="91" bestFit="1" customWidth="1"/>
    <col min="8721" max="8721" width="8.5" style="91" bestFit="1" customWidth="1"/>
    <col min="8722" max="8722" width="19.875" style="91" bestFit="1" customWidth="1"/>
    <col min="8723" max="8963" width="9" style="91"/>
    <col min="8964" max="8964" width="8.375" style="91" bestFit="1" customWidth="1"/>
    <col min="8965" max="8965" width="14.375" style="91" bestFit="1" customWidth="1"/>
    <col min="8966" max="8966" width="7.5" style="91" bestFit="1" customWidth="1"/>
    <col min="8967" max="8967" width="9" style="91" bestFit="1" customWidth="1"/>
    <col min="8968" max="8968" width="11.25" style="91" bestFit="1" customWidth="1"/>
    <col min="8969" max="8969" width="40.75" style="91" customWidth="1"/>
    <col min="8970" max="8970" width="14.625" style="91" bestFit="1" customWidth="1"/>
    <col min="8971" max="8971" width="54.875" style="91" customWidth="1"/>
    <col min="8972" max="8972" width="11.25" style="91" bestFit="1" customWidth="1"/>
    <col min="8973" max="8973" width="9" style="91" bestFit="1" customWidth="1"/>
    <col min="8974" max="8974" width="10.375" style="91" bestFit="1" customWidth="1"/>
    <col min="8975" max="8975" width="7.5" style="91" bestFit="1" customWidth="1"/>
    <col min="8976" max="8976" width="22.75" style="91" bestFit="1" customWidth="1"/>
    <col min="8977" max="8977" width="8.5" style="91" bestFit="1" customWidth="1"/>
    <col min="8978" max="8978" width="19.875" style="91" bestFit="1" customWidth="1"/>
    <col min="8979" max="9219" width="9" style="91"/>
    <col min="9220" max="9220" width="8.375" style="91" bestFit="1" customWidth="1"/>
    <col min="9221" max="9221" width="14.375" style="91" bestFit="1" customWidth="1"/>
    <col min="9222" max="9222" width="7.5" style="91" bestFit="1" customWidth="1"/>
    <col min="9223" max="9223" width="9" style="91" bestFit="1" customWidth="1"/>
    <col min="9224" max="9224" width="11.25" style="91" bestFit="1" customWidth="1"/>
    <col min="9225" max="9225" width="40.75" style="91" customWidth="1"/>
    <col min="9226" max="9226" width="14.625" style="91" bestFit="1" customWidth="1"/>
    <col min="9227" max="9227" width="54.875" style="91" customWidth="1"/>
    <col min="9228" max="9228" width="11.25" style="91" bestFit="1" customWidth="1"/>
    <col min="9229" max="9229" width="9" style="91" bestFit="1" customWidth="1"/>
    <col min="9230" max="9230" width="10.375" style="91" bestFit="1" customWidth="1"/>
    <col min="9231" max="9231" width="7.5" style="91" bestFit="1" customWidth="1"/>
    <col min="9232" max="9232" width="22.75" style="91" bestFit="1" customWidth="1"/>
    <col min="9233" max="9233" width="8.5" style="91" bestFit="1" customWidth="1"/>
    <col min="9234" max="9234" width="19.875" style="91" bestFit="1" customWidth="1"/>
    <col min="9235" max="9475" width="9" style="91"/>
    <col min="9476" max="9476" width="8.375" style="91" bestFit="1" customWidth="1"/>
    <col min="9477" max="9477" width="14.375" style="91" bestFit="1" customWidth="1"/>
    <col min="9478" max="9478" width="7.5" style="91" bestFit="1" customWidth="1"/>
    <col min="9479" max="9479" width="9" style="91" bestFit="1" customWidth="1"/>
    <col min="9480" max="9480" width="11.25" style="91" bestFit="1" customWidth="1"/>
    <col min="9481" max="9481" width="40.75" style="91" customWidth="1"/>
    <col min="9482" max="9482" width="14.625" style="91" bestFit="1" customWidth="1"/>
    <col min="9483" max="9483" width="54.875" style="91" customWidth="1"/>
    <col min="9484" max="9484" width="11.25" style="91" bestFit="1" customWidth="1"/>
    <col min="9485" max="9485" width="9" style="91" bestFit="1" customWidth="1"/>
    <col min="9486" max="9486" width="10.375" style="91" bestFit="1" customWidth="1"/>
    <col min="9487" max="9487" width="7.5" style="91" bestFit="1" customWidth="1"/>
    <col min="9488" max="9488" width="22.75" style="91" bestFit="1" customWidth="1"/>
    <col min="9489" max="9489" width="8.5" style="91" bestFit="1" customWidth="1"/>
    <col min="9490" max="9490" width="19.875" style="91" bestFit="1" customWidth="1"/>
    <col min="9491" max="9731" width="9" style="91"/>
    <col min="9732" max="9732" width="8.375" style="91" bestFit="1" customWidth="1"/>
    <col min="9733" max="9733" width="14.375" style="91" bestFit="1" customWidth="1"/>
    <col min="9734" max="9734" width="7.5" style="91" bestFit="1" customWidth="1"/>
    <col min="9735" max="9735" width="9" style="91" bestFit="1" customWidth="1"/>
    <col min="9736" max="9736" width="11.25" style="91" bestFit="1" customWidth="1"/>
    <col min="9737" max="9737" width="40.75" style="91" customWidth="1"/>
    <col min="9738" max="9738" width="14.625" style="91" bestFit="1" customWidth="1"/>
    <col min="9739" max="9739" width="54.875" style="91" customWidth="1"/>
    <col min="9740" max="9740" width="11.25" style="91" bestFit="1" customWidth="1"/>
    <col min="9741" max="9741" width="9" style="91" bestFit="1" customWidth="1"/>
    <col min="9742" max="9742" width="10.375" style="91" bestFit="1" customWidth="1"/>
    <col min="9743" max="9743" width="7.5" style="91" bestFit="1" customWidth="1"/>
    <col min="9744" max="9744" width="22.75" style="91" bestFit="1" customWidth="1"/>
    <col min="9745" max="9745" width="8.5" style="91" bestFit="1" customWidth="1"/>
    <col min="9746" max="9746" width="19.875" style="91" bestFit="1" customWidth="1"/>
    <col min="9747" max="9987" width="9" style="91"/>
    <col min="9988" max="9988" width="8.375" style="91" bestFit="1" customWidth="1"/>
    <col min="9989" max="9989" width="14.375" style="91" bestFit="1" customWidth="1"/>
    <col min="9990" max="9990" width="7.5" style="91" bestFit="1" customWidth="1"/>
    <col min="9991" max="9991" width="9" style="91" bestFit="1" customWidth="1"/>
    <col min="9992" max="9992" width="11.25" style="91" bestFit="1" customWidth="1"/>
    <col min="9993" max="9993" width="40.75" style="91" customWidth="1"/>
    <col min="9994" max="9994" width="14.625" style="91" bestFit="1" customWidth="1"/>
    <col min="9995" max="9995" width="54.875" style="91" customWidth="1"/>
    <col min="9996" max="9996" width="11.25" style="91" bestFit="1" customWidth="1"/>
    <col min="9997" max="9997" width="9" style="91" bestFit="1" customWidth="1"/>
    <col min="9998" max="9998" width="10.375" style="91" bestFit="1" customWidth="1"/>
    <col min="9999" max="9999" width="7.5" style="91" bestFit="1" customWidth="1"/>
    <col min="10000" max="10000" width="22.75" style="91" bestFit="1" customWidth="1"/>
    <col min="10001" max="10001" width="8.5" style="91" bestFit="1" customWidth="1"/>
    <col min="10002" max="10002" width="19.875" style="91" bestFit="1" customWidth="1"/>
    <col min="10003" max="10243" width="9" style="91"/>
    <col min="10244" max="10244" width="8.375" style="91" bestFit="1" customWidth="1"/>
    <col min="10245" max="10245" width="14.375" style="91" bestFit="1" customWidth="1"/>
    <col min="10246" max="10246" width="7.5" style="91" bestFit="1" customWidth="1"/>
    <col min="10247" max="10247" width="9" style="91" bestFit="1" customWidth="1"/>
    <col min="10248" max="10248" width="11.25" style="91" bestFit="1" customWidth="1"/>
    <col min="10249" max="10249" width="40.75" style="91" customWidth="1"/>
    <col min="10250" max="10250" width="14.625" style="91" bestFit="1" customWidth="1"/>
    <col min="10251" max="10251" width="54.875" style="91" customWidth="1"/>
    <col min="10252" max="10252" width="11.25" style="91" bestFit="1" customWidth="1"/>
    <col min="10253" max="10253" width="9" style="91" bestFit="1" customWidth="1"/>
    <col min="10254" max="10254" width="10.375" style="91" bestFit="1" customWidth="1"/>
    <col min="10255" max="10255" width="7.5" style="91" bestFit="1" customWidth="1"/>
    <col min="10256" max="10256" width="22.75" style="91" bestFit="1" customWidth="1"/>
    <col min="10257" max="10257" width="8.5" style="91" bestFit="1" customWidth="1"/>
    <col min="10258" max="10258" width="19.875" style="91" bestFit="1" customWidth="1"/>
    <col min="10259" max="10499" width="9" style="91"/>
    <col min="10500" max="10500" width="8.375" style="91" bestFit="1" customWidth="1"/>
    <col min="10501" max="10501" width="14.375" style="91" bestFit="1" customWidth="1"/>
    <col min="10502" max="10502" width="7.5" style="91" bestFit="1" customWidth="1"/>
    <col min="10503" max="10503" width="9" style="91" bestFit="1" customWidth="1"/>
    <col min="10504" max="10504" width="11.25" style="91" bestFit="1" customWidth="1"/>
    <col min="10505" max="10505" width="40.75" style="91" customWidth="1"/>
    <col min="10506" max="10506" width="14.625" style="91" bestFit="1" customWidth="1"/>
    <col min="10507" max="10507" width="54.875" style="91" customWidth="1"/>
    <col min="10508" max="10508" width="11.25" style="91" bestFit="1" customWidth="1"/>
    <col min="10509" max="10509" width="9" style="91" bestFit="1" customWidth="1"/>
    <col min="10510" max="10510" width="10.375" style="91" bestFit="1" customWidth="1"/>
    <col min="10511" max="10511" width="7.5" style="91" bestFit="1" customWidth="1"/>
    <col min="10512" max="10512" width="22.75" style="91" bestFit="1" customWidth="1"/>
    <col min="10513" max="10513" width="8.5" style="91" bestFit="1" customWidth="1"/>
    <col min="10514" max="10514" width="19.875" style="91" bestFit="1" customWidth="1"/>
    <col min="10515" max="10755" width="9" style="91"/>
    <col min="10756" max="10756" width="8.375" style="91" bestFit="1" customWidth="1"/>
    <col min="10757" max="10757" width="14.375" style="91" bestFit="1" customWidth="1"/>
    <col min="10758" max="10758" width="7.5" style="91" bestFit="1" customWidth="1"/>
    <col min="10759" max="10759" width="9" style="91" bestFit="1" customWidth="1"/>
    <col min="10760" max="10760" width="11.25" style="91" bestFit="1" customWidth="1"/>
    <col min="10761" max="10761" width="40.75" style="91" customWidth="1"/>
    <col min="10762" max="10762" width="14.625" style="91" bestFit="1" customWidth="1"/>
    <col min="10763" max="10763" width="54.875" style="91" customWidth="1"/>
    <col min="10764" max="10764" width="11.25" style="91" bestFit="1" customWidth="1"/>
    <col min="10765" max="10765" width="9" style="91" bestFit="1" customWidth="1"/>
    <col min="10766" max="10766" width="10.375" style="91" bestFit="1" customWidth="1"/>
    <col min="10767" max="10767" width="7.5" style="91" bestFit="1" customWidth="1"/>
    <col min="10768" max="10768" width="22.75" style="91" bestFit="1" customWidth="1"/>
    <col min="10769" max="10769" width="8.5" style="91" bestFit="1" customWidth="1"/>
    <col min="10770" max="10770" width="19.875" style="91" bestFit="1" customWidth="1"/>
    <col min="10771" max="11011" width="9" style="91"/>
    <col min="11012" max="11012" width="8.375" style="91" bestFit="1" customWidth="1"/>
    <col min="11013" max="11013" width="14.375" style="91" bestFit="1" customWidth="1"/>
    <col min="11014" max="11014" width="7.5" style="91" bestFit="1" customWidth="1"/>
    <col min="11015" max="11015" width="9" style="91" bestFit="1" customWidth="1"/>
    <col min="11016" max="11016" width="11.25" style="91" bestFit="1" customWidth="1"/>
    <col min="11017" max="11017" width="40.75" style="91" customWidth="1"/>
    <col min="11018" max="11018" width="14.625" style="91" bestFit="1" customWidth="1"/>
    <col min="11019" max="11019" width="54.875" style="91" customWidth="1"/>
    <col min="11020" max="11020" width="11.25" style="91" bestFit="1" customWidth="1"/>
    <col min="11021" max="11021" width="9" style="91" bestFit="1" customWidth="1"/>
    <col min="11022" max="11022" width="10.375" style="91" bestFit="1" customWidth="1"/>
    <col min="11023" max="11023" width="7.5" style="91" bestFit="1" customWidth="1"/>
    <col min="11024" max="11024" width="22.75" style="91" bestFit="1" customWidth="1"/>
    <col min="11025" max="11025" width="8.5" style="91" bestFit="1" customWidth="1"/>
    <col min="11026" max="11026" width="19.875" style="91" bestFit="1" customWidth="1"/>
    <col min="11027" max="11267" width="9" style="91"/>
    <col min="11268" max="11268" width="8.375" style="91" bestFit="1" customWidth="1"/>
    <col min="11269" max="11269" width="14.375" style="91" bestFit="1" customWidth="1"/>
    <col min="11270" max="11270" width="7.5" style="91" bestFit="1" customWidth="1"/>
    <col min="11271" max="11271" width="9" style="91" bestFit="1" customWidth="1"/>
    <col min="11272" max="11272" width="11.25" style="91" bestFit="1" customWidth="1"/>
    <col min="11273" max="11273" width="40.75" style="91" customWidth="1"/>
    <col min="11274" max="11274" width="14.625" style="91" bestFit="1" customWidth="1"/>
    <col min="11275" max="11275" width="54.875" style="91" customWidth="1"/>
    <col min="11276" max="11276" width="11.25" style="91" bestFit="1" customWidth="1"/>
    <col min="11277" max="11277" width="9" style="91" bestFit="1" customWidth="1"/>
    <col min="11278" max="11278" width="10.375" style="91" bestFit="1" customWidth="1"/>
    <col min="11279" max="11279" width="7.5" style="91" bestFit="1" customWidth="1"/>
    <col min="11280" max="11280" width="22.75" style="91" bestFit="1" customWidth="1"/>
    <col min="11281" max="11281" width="8.5" style="91" bestFit="1" customWidth="1"/>
    <col min="11282" max="11282" width="19.875" style="91" bestFit="1" customWidth="1"/>
    <col min="11283" max="11523" width="9" style="91"/>
    <col min="11524" max="11524" width="8.375" style="91" bestFit="1" customWidth="1"/>
    <col min="11525" max="11525" width="14.375" style="91" bestFit="1" customWidth="1"/>
    <col min="11526" max="11526" width="7.5" style="91" bestFit="1" customWidth="1"/>
    <col min="11527" max="11527" width="9" style="91" bestFit="1" customWidth="1"/>
    <col min="11528" max="11528" width="11.25" style="91" bestFit="1" customWidth="1"/>
    <col min="11529" max="11529" width="40.75" style="91" customWidth="1"/>
    <col min="11530" max="11530" width="14.625" style="91" bestFit="1" customWidth="1"/>
    <col min="11531" max="11531" width="54.875" style="91" customWidth="1"/>
    <col min="11532" max="11532" width="11.25" style="91" bestFit="1" customWidth="1"/>
    <col min="11533" max="11533" width="9" style="91" bestFit="1" customWidth="1"/>
    <col min="11534" max="11534" width="10.375" style="91" bestFit="1" customWidth="1"/>
    <col min="11535" max="11535" width="7.5" style="91" bestFit="1" customWidth="1"/>
    <col min="11536" max="11536" width="22.75" style="91" bestFit="1" customWidth="1"/>
    <col min="11537" max="11537" width="8.5" style="91" bestFit="1" customWidth="1"/>
    <col min="11538" max="11538" width="19.875" style="91" bestFit="1" customWidth="1"/>
    <col min="11539" max="11779" width="9" style="91"/>
    <col min="11780" max="11780" width="8.375" style="91" bestFit="1" customWidth="1"/>
    <col min="11781" max="11781" width="14.375" style="91" bestFit="1" customWidth="1"/>
    <col min="11782" max="11782" width="7.5" style="91" bestFit="1" customWidth="1"/>
    <col min="11783" max="11783" width="9" style="91" bestFit="1" customWidth="1"/>
    <col min="11784" max="11784" width="11.25" style="91" bestFit="1" customWidth="1"/>
    <col min="11785" max="11785" width="40.75" style="91" customWidth="1"/>
    <col min="11786" max="11786" width="14.625" style="91" bestFit="1" customWidth="1"/>
    <col min="11787" max="11787" width="54.875" style="91" customWidth="1"/>
    <col min="11788" max="11788" width="11.25" style="91" bestFit="1" customWidth="1"/>
    <col min="11789" max="11789" width="9" style="91" bestFit="1" customWidth="1"/>
    <col min="11790" max="11790" width="10.375" style="91" bestFit="1" customWidth="1"/>
    <col min="11791" max="11791" width="7.5" style="91" bestFit="1" customWidth="1"/>
    <col min="11792" max="11792" width="22.75" style="91" bestFit="1" customWidth="1"/>
    <col min="11793" max="11793" width="8.5" style="91" bestFit="1" customWidth="1"/>
    <col min="11794" max="11794" width="19.875" style="91" bestFit="1" customWidth="1"/>
    <col min="11795" max="12035" width="9" style="91"/>
    <col min="12036" max="12036" width="8.375" style="91" bestFit="1" customWidth="1"/>
    <col min="12037" max="12037" width="14.375" style="91" bestFit="1" customWidth="1"/>
    <col min="12038" max="12038" width="7.5" style="91" bestFit="1" customWidth="1"/>
    <col min="12039" max="12039" width="9" style="91" bestFit="1" customWidth="1"/>
    <col min="12040" max="12040" width="11.25" style="91" bestFit="1" customWidth="1"/>
    <col min="12041" max="12041" width="40.75" style="91" customWidth="1"/>
    <col min="12042" max="12042" width="14.625" style="91" bestFit="1" customWidth="1"/>
    <col min="12043" max="12043" width="54.875" style="91" customWidth="1"/>
    <col min="12044" max="12044" width="11.25" style="91" bestFit="1" customWidth="1"/>
    <col min="12045" max="12045" width="9" style="91" bestFit="1" customWidth="1"/>
    <col min="12046" max="12046" width="10.375" style="91" bestFit="1" customWidth="1"/>
    <col min="12047" max="12047" width="7.5" style="91" bestFit="1" customWidth="1"/>
    <col min="12048" max="12048" width="22.75" style="91" bestFit="1" customWidth="1"/>
    <col min="12049" max="12049" width="8.5" style="91" bestFit="1" customWidth="1"/>
    <col min="12050" max="12050" width="19.875" style="91" bestFit="1" customWidth="1"/>
    <col min="12051" max="12291" width="9" style="91"/>
    <col min="12292" max="12292" width="8.375" style="91" bestFit="1" customWidth="1"/>
    <col min="12293" max="12293" width="14.375" style="91" bestFit="1" customWidth="1"/>
    <col min="12294" max="12294" width="7.5" style="91" bestFit="1" customWidth="1"/>
    <col min="12295" max="12295" width="9" style="91" bestFit="1" customWidth="1"/>
    <col min="12296" max="12296" width="11.25" style="91" bestFit="1" customWidth="1"/>
    <col min="12297" max="12297" width="40.75" style="91" customWidth="1"/>
    <col min="12298" max="12298" width="14.625" style="91" bestFit="1" customWidth="1"/>
    <col min="12299" max="12299" width="54.875" style="91" customWidth="1"/>
    <col min="12300" max="12300" width="11.25" style="91" bestFit="1" customWidth="1"/>
    <col min="12301" max="12301" width="9" style="91" bestFit="1" customWidth="1"/>
    <col min="12302" max="12302" width="10.375" style="91" bestFit="1" customWidth="1"/>
    <col min="12303" max="12303" width="7.5" style="91" bestFit="1" customWidth="1"/>
    <col min="12304" max="12304" width="22.75" style="91" bestFit="1" customWidth="1"/>
    <col min="12305" max="12305" width="8.5" style="91" bestFit="1" customWidth="1"/>
    <col min="12306" max="12306" width="19.875" style="91" bestFit="1" customWidth="1"/>
    <col min="12307" max="12547" width="9" style="91"/>
    <col min="12548" max="12548" width="8.375" style="91" bestFit="1" customWidth="1"/>
    <col min="12549" max="12549" width="14.375" style="91" bestFit="1" customWidth="1"/>
    <col min="12550" max="12550" width="7.5" style="91" bestFit="1" customWidth="1"/>
    <col min="12551" max="12551" width="9" style="91" bestFit="1" customWidth="1"/>
    <col min="12552" max="12552" width="11.25" style="91" bestFit="1" customWidth="1"/>
    <col min="12553" max="12553" width="40.75" style="91" customWidth="1"/>
    <col min="12554" max="12554" width="14.625" style="91" bestFit="1" customWidth="1"/>
    <col min="12555" max="12555" width="54.875" style="91" customWidth="1"/>
    <col min="12556" max="12556" width="11.25" style="91" bestFit="1" customWidth="1"/>
    <col min="12557" max="12557" width="9" style="91" bestFit="1" customWidth="1"/>
    <col min="12558" max="12558" width="10.375" style="91" bestFit="1" customWidth="1"/>
    <col min="12559" max="12559" width="7.5" style="91" bestFit="1" customWidth="1"/>
    <col min="12560" max="12560" width="22.75" style="91" bestFit="1" customWidth="1"/>
    <col min="12561" max="12561" width="8.5" style="91" bestFit="1" customWidth="1"/>
    <col min="12562" max="12562" width="19.875" style="91" bestFit="1" customWidth="1"/>
    <col min="12563" max="12803" width="9" style="91"/>
    <col min="12804" max="12804" width="8.375" style="91" bestFit="1" customWidth="1"/>
    <col min="12805" max="12805" width="14.375" style="91" bestFit="1" customWidth="1"/>
    <col min="12806" max="12806" width="7.5" style="91" bestFit="1" customWidth="1"/>
    <col min="12807" max="12807" width="9" style="91" bestFit="1" customWidth="1"/>
    <col min="12808" max="12808" width="11.25" style="91" bestFit="1" customWidth="1"/>
    <col min="12809" max="12809" width="40.75" style="91" customWidth="1"/>
    <col min="12810" max="12810" width="14.625" style="91" bestFit="1" customWidth="1"/>
    <col min="12811" max="12811" width="54.875" style="91" customWidth="1"/>
    <col min="12812" max="12812" width="11.25" style="91" bestFit="1" customWidth="1"/>
    <col min="12813" max="12813" width="9" style="91" bestFit="1" customWidth="1"/>
    <col min="12814" max="12814" width="10.375" style="91" bestFit="1" customWidth="1"/>
    <col min="12815" max="12815" width="7.5" style="91" bestFit="1" customWidth="1"/>
    <col min="12816" max="12816" width="22.75" style="91" bestFit="1" customWidth="1"/>
    <col min="12817" max="12817" width="8.5" style="91" bestFit="1" customWidth="1"/>
    <col min="12818" max="12818" width="19.875" style="91" bestFit="1" customWidth="1"/>
    <col min="12819" max="13059" width="9" style="91"/>
    <col min="13060" max="13060" width="8.375" style="91" bestFit="1" customWidth="1"/>
    <col min="13061" max="13061" width="14.375" style="91" bestFit="1" customWidth="1"/>
    <col min="13062" max="13062" width="7.5" style="91" bestFit="1" customWidth="1"/>
    <col min="13063" max="13063" width="9" style="91" bestFit="1" customWidth="1"/>
    <col min="13064" max="13064" width="11.25" style="91" bestFit="1" customWidth="1"/>
    <col min="13065" max="13065" width="40.75" style="91" customWidth="1"/>
    <col min="13066" max="13066" width="14.625" style="91" bestFit="1" customWidth="1"/>
    <col min="13067" max="13067" width="54.875" style="91" customWidth="1"/>
    <col min="13068" max="13068" width="11.25" style="91" bestFit="1" customWidth="1"/>
    <col min="13069" max="13069" width="9" style="91" bestFit="1" customWidth="1"/>
    <col min="13070" max="13070" width="10.375" style="91" bestFit="1" customWidth="1"/>
    <col min="13071" max="13071" width="7.5" style="91" bestFit="1" customWidth="1"/>
    <col min="13072" max="13072" width="22.75" style="91" bestFit="1" customWidth="1"/>
    <col min="13073" max="13073" width="8.5" style="91" bestFit="1" customWidth="1"/>
    <col min="13074" max="13074" width="19.875" style="91" bestFit="1" customWidth="1"/>
    <col min="13075" max="13315" width="9" style="91"/>
    <col min="13316" max="13316" width="8.375" style="91" bestFit="1" customWidth="1"/>
    <col min="13317" max="13317" width="14.375" style="91" bestFit="1" customWidth="1"/>
    <col min="13318" max="13318" width="7.5" style="91" bestFit="1" customWidth="1"/>
    <col min="13319" max="13319" width="9" style="91" bestFit="1" customWidth="1"/>
    <col min="13320" max="13320" width="11.25" style="91" bestFit="1" customWidth="1"/>
    <col min="13321" max="13321" width="40.75" style="91" customWidth="1"/>
    <col min="13322" max="13322" width="14.625" style="91" bestFit="1" customWidth="1"/>
    <col min="13323" max="13323" width="54.875" style="91" customWidth="1"/>
    <col min="13324" max="13324" width="11.25" style="91" bestFit="1" customWidth="1"/>
    <col min="13325" max="13325" width="9" style="91" bestFit="1" customWidth="1"/>
    <col min="13326" max="13326" width="10.375" style="91" bestFit="1" customWidth="1"/>
    <col min="13327" max="13327" width="7.5" style="91" bestFit="1" customWidth="1"/>
    <col min="13328" max="13328" width="22.75" style="91" bestFit="1" customWidth="1"/>
    <col min="13329" max="13329" width="8.5" style="91" bestFit="1" customWidth="1"/>
    <col min="13330" max="13330" width="19.875" style="91" bestFit="1" customWidth="1"/>
    <col min="13331" max="13571" width="9" style="91"/>
    <col min="13572" max="13572" width="8.375" style="91" bestFit="1" customWidth="1"/>
    <col min="13573" max="13573" width="14.375" style="91" bestFit="1" customWidth="1"/>
    <col min="13574" max="13574" width="7.5" style="91" bestFit="1" customWidth="1"/>
    <col min="13575" max="13575" width="9" style="91" bestFit="1" customWidth="1"/>
    <col min="13576" max="13576" width="11.25" style="91" bestFit="1" customWidth="1"/>
    <col min="13577" max="13577" width="40.75" style="91" customWidth="1"/>
    <col min="13578" max="13578" width="14.625" style="91" bestFit="1" customWidth="1"/>
    <col min="13579" max="13579" width="54.875" style="91" customWidth="1"/>
    <col min="13580" max="13580" width="11.25" style="91" bestFit="1" customWidth="1"/>
    <col min="13581" max="13581" width="9" style="91" bestFit="1" customWidth="1"/>
    <col min="13582" max="13582" width="10.375" style="91" bestFit="1" customWidth="1"/>
    <col min="13583" max="13583" width="7.5" style="91" bestFit="1" customWidth="1"/>
    <col min="13584" max="13584" width="22.75" style="91" bestFit="1" customWidth="1"/>
    <col min="13585" max="13585" width="8.5" style="91" bestFit="1" customWidth="1"/>
    <col min="13586" max="13586" width="19.875" style="91" bestFit="1" customWidth="1"/>
    <col min="13587" max="13827" width="9" style="91"/>
    <col min="13828" max="13828" width="8.375" style="91" bestFit="1" customWidth="1"/>
    <col min="13829" max="13829" width="14.375" style="91" bestFit="1" customWidth="1"/>
    <col min="13830" max="13830" width="7.5" style="91" bestFit="1" customWidth="1"/>
    <col min="13831" max="13831" width="9" style="91" bestFit="1" customWidth="1"/>
    <col min="13832" max="13832" width="11.25" style="91" bestFit="1" customWidth="1"/>
    <col min="13833" max="13833" width="40.75" style="91" customWidth="1"/>
    <col min="13834" max="13834" width="14.625" style="91" bestFit="1" customWidth="1"/>
    <col min="13835" max="13835" width="54.875" style="91" customWidth="1"/>
    <col min="13836" max="13836" width="11.25" style="91" bestFit="1" customWidth="1"/>
    <col min="13837" max="13837" width="9" style="91" bestFit="1" customWidth="1"/>
    <col min="13838" max="13838" width="10.375" style="91" bestFit="1" customWidth="1"/>
    <col min="13839" max="13839" width="7.5" style="91" bestFit="1" customWidth="1"/>
    <col min="13840" max="13840" width="22.75" style="91" bestFit="1" customWidth="1"/>
    <col min="13841" max="13841" width="8.5" style="91" bestFit="1" customWidth="1"/>
    <col min="13842" max="13842" width="19.875" style="91" bestFit="1" customWidth="1"/>
    <col min="13843" max="14083" width="9" style="91"/>
    <col min="14084" max="14084" width="8.375" style="91" bestFit="1" customWidth="1"/>
    <col min="14085" max="14085" width="14.375" style="91" bestFit="1" customWidth="1"/>
    <col min="14086" max="14086" width="7.5" style="91" bestFit="1" customWidth="1"/>
    <col min="14087" max="14087" width="9" style="91" bestFit="1" customWidth="1"/>
    <col min="14088" max="14088" width="11.25" style="91" bestFit="1" customWidth="1"/>
    <col min="14089" max="14089" width="40.75" style="91" customWidth="1"/>
    <col min="14090" max="14090" width="14.625" style="91" bestFit="1" customWidth="1"/>
    <col min="14091" max="14091" width="54.875" style="91" customWidth="1"/>
    <col min="14092" max="14092" width="11.25" style="91" bestFit="1" customWidth="1"/>
    <col min="14093" max="14093" width="9" style="91" bestFit="1" customWidth="1"/>
    <col min="14094" max="14094" width="10.375" style="91" bestFit="1" customWidth="1"/>
    <col min="14095" max="14095" width="7.5" style="91" bestFit="1" customWidth="1"/>
    <col min="14096" max="14096" width="22.75" style="91" bestFit="1" customWidth="1"/>
    <col min="14097" max="14097" width="8.5" style="91" bestFit="1" customWidth="1"/>
    <col min="14098" max="14098" width="19.875" style="91" bestFit="1" customWidth="1"/>
    <col min="14099" max="14339" width="9" style="91"/>
    <col min="14340" max="14340" width="8.375" style="91" bestFit="1" customWidth="1"/>
    <col min="14341" max="14341" width="14.375" style="91" bestFit="1" customWidth="1"/>
    <col min="14342" max="14342" width="7.5" style="91" bestFit="1" customWidth="1"/>
    <col min="14343" max="14343" width="9" style="91" bestFit="1" customWidth="1"/>
    <col min="14344" max="14344" width="11.25" style="91" bestFit="1" customWidth="1"/>
    <col min="14345" max="14345" width="40.75" style="91" customWidth="1"/>
    <col min="14346" max="14346" width="14.625" style="91" bestFit="1" customWidth="1"/>
    <col min="14347" max="14347" width="54.875" style="91" customWidth="1"/>
    <col min="14348" max="14348" width="11.25" style="91" bestFit="1" customWidth="1"/>
    <col min="14349" max="14349" width="9" style="91" bestFit="1" customWidth="1"/>
    <col min="14350" max="14350" width="10.375" style="91" bestFit="1" customWidth="1"/>
    <col min="14351" max="14351" width="7.5" style="91" bestFit="1" customWidth="1"/>
    <col min="14352" max="14352" width="22.75" style="91" bestFit="1" customWidth="1"/>
    <col min="14353" max="14353" width="8.5" style="91" bestFit="1" customWidth="1"/>
    <col min="14354" max="14354" width="19.875" style="91" bestFit="1" customWidth="1"/>
    <col min="14355" max="14595" width="9" style="91"/>
    <col min="14596" max="14596" width="8.375" style="91" bestFit="1" customWidth="1"/>
    <col min="14597" max="14597" width="14.375" style="91" bestFit="1" customWidth="1"/>
    <col min="14598" max="14598" width="7.5" style="91" bestFit="1" customWidth="1"/>
    <col min="14599" max="14599" width="9" style="91" bestFit="1" customWidth="1"/>
    <col min="14600" max="14600" width="11.25" style="91" bestFit="1" customWidth="1"/>
    <col min="14601" max="14601" width="40.75" style="91" customWidth="1"/>
    <col min="14602" max="14602" width="14.625" style="91" bestFit="1" customWidth="1"/>
    <col min="14603" max="14603" width="54.875" style="91" customWidth="1"/>
    <col min="14604" max="14604" width="11.25" style="91" bestFit="1" customWidth="1"/>
    <col min="14605" max="14605" width="9" style="91" bestFit="1" customWidth="1"/>
    <col min="14606" max="14606" width="10.375" style="91" bestFit="1" customWidth="1"/>
    <col min="14607" max="14607" width="7.5" style="91" bestFit="1" customWidth="1"/>
    <col min="14608" max="14608" width="22.75" style="91" bestFit="1" customWidth="1"/>
    <col min="14609" max="14609" width="8.5" style="91" bestFit="1" customWidth="1"/>
    <col min="14610" max="14610" width="19.875" style="91" bestFit="1" customWidth="1"/>
    <col min="14611" max="14851" width="9" style="91"/>
    <col min="14852" max="14852" width="8.375" style="91" bestFit="1" customWidth="1"/>
    <col min="14853" max="14853" width="14.375" style="91" bestFit="1" customWidth="1"/>
    <col min="14854" max="14854" width="7.5" style="91" bestFit="1" customWidth="1"/>
    <col min="14855" max="14855" width="9" style="91" bestFit="1" customWidth="1"/>
    <col min="14856" max="14856" width="11.25" style="91" bestFit="1" customWidth="1"/>
    <col min="14857" max="14857" width="40.75" style="91" customWidth="1"/>
    <col min="14858" max="14858" width="14.625" style="91" bestFit="1" customWidth="1"/>
    <col min="14859" max="14859" width="54.875" style="91" customWidth="1"/>
    <col min="14860" max="14860" width="11.25" style="91" bestFit="1" customWidth="1"/>
    <col min="14861" max="14861" width="9" style="91" bestFit="1" customWidth="1"/>
    <col min="14862" max="14862" width="10.375" style="91" bestFit="1" customWidth="1"/>
    <col min="14863" max="14863" width="7.5" style="91" bestFit="1" customWidth="1"/>
    <col min="14864" max="14864" width="22.75" style="91" bestFit="1" customWidth="1"/>
    <col min="14865" max="14865" width="8.5" style="91" bestFit="1" customWidth="1"/>
    <col min="14866" max="14866" width="19.875" style="91" bestFit="1" customWidth="1"/>
    <col min="14867" max="15107" width="9" style="91"/>
    <col min="15108" max="15108" width="8.375" style="91" bestFit="1" customWidth="1"/>
    <col min="15109" max="15109" width="14.375" style="91" bestFit="1" customWidth="1"/>
    <col min="15110" max="15110" width="7.5" style="91" bestFit="1" customWidth="1"/>
    <col min="15111" max="15111" width="9" style="91" bestFit="1" customWidth="1"/>
    <col min="15112" max="15112" width="11.25" style="91" bestFit="1" customWidth="1"/>
    <col min="15113" max="15113" width="40.75" style="91" customWidth="1"/>
    <col min="15114" max="15114" width="14.625" style="91" bestFit="1" customWidth="1"/>
    <col min="15115" max="15115" width="54.875" style="91" customWidth="1"/>
    <col min="15116" max="15116" width="11.25" style="91" bestFit="1" customWidth="1"/>
    <col min="15117" max="15117" width="9" style="91" bestFit="1" customWidth="1"/>
    <col min="15118" max="15118" width="10.375" style="91" bestFit="1" customWidth="1"/>
    <col min="15119" max="15119" width="7.5" style="91" bestFit="1" customWidth="1"/>
    <col min="15120" max="15120" width="22.75" style="91" bestFit="1" customWidth="1"/>
    <col min="15121" max="15121" width="8.5" style="91" bestFit="1" customWidth="1"/>
    <col min="15122" max="15122" width="19.875" style="91" bestFit="1" customWidth="1"/>
    <col min="15123" max="15363" width="9" style="91"/>
    <col min="15364" max="15364" width="8.375" style="91" bestFit="1" customWidth="1"/>
    <col min="15365" max="15365" width="14.375" style="91" bestFit="1" customWidth="1"/>
    <col min="15366" max="15366" width="7.5" style="91" bestFit="1" customWidth="1"/>
    <col min="15367" max="15367" width="9" style="91" bestFit="1" customWidth="1"/>
    <col min="15368" max="15368" width="11.25" style="91" bestFit="1" customWidth="1"/>
    <col min="15369" max="15369" width="40.75" style="91" customWidth="1"/>
    <col min="15370" max="15370" width="14.625" style="91" bestFit="1" customWidth="1"/>
    <col min="15371" max="15371" width="54.875" style="91" customWidth="1"/>
    <col min="15372" max="15372" width="11.25" style="91" bestFit="1" customWidth="1"/>
    <col min="15373" max="15373" width="9" style="91" bestFit="1" customWidth="1"/>
    <col min="15374" max="15374" width="10.375" style="91" bestFit="1" customWidth="1"/>
    <col min="15375" max="15375" width="7.5" style="91" bestFit="1" customWidth="1"/>
    <col min="15376" max="15376" width="22.75" style="91" bestFit="1" customWidth="1"/>
    <col min="15377" max="15377" width="8.5" style="91" bestFit="1" customWidth="1"/>
    <col min="15378" max="15378" width="19.875" style="91" bestFit="1" customWidth="1"/>
    <col min="15379" max="15619" width="9" style="91"/>
    <col min="15620" max="15620" width="8.375" style="91" bestFit="1" customWidth="1"/>
    <col min="15621" max="15621" width="14.375" style="91" bestFit="1" customWidth="1"/>
    <col min="15622" max="15622" width="7.5" style="91" bestFit="1" customWidth="1"/>
    <col min="15623" max="15623" width="9" style="91" bestFit="1" customWidth="1"/>
    <col min="15624" max="15624" width="11.25" style="91" bestFit="1" customWidth="1"/>
    <col min="15625" max="15625" width="40.75" style="91" customWidth="1"/>
    <col min="15626" max="15626" width="14.625" style="91" bestFit="1" customWidth="1"/>
    <col min="15627" max="15627" width="54.875" style="91" customWidth="1"/>
    <col min="15628" max="15628" width="11.25" style="91" bestFit="1" customWidth="1"/>
    <col min="15629" max="15629" width="9" style="91" bestFit="1" customWidth="1"/>
    <col min="15630" max="15630" width="10.375" style="91" bestFit="1" customWidth="1"/>
    <col min="15631" max="15631" width="7.5" style="91" bestFit="1" customWidth="1"/>
    <col min="15632" max="15632" width="22.75" style="91" bestFit="1" customWidth="1"/>
    <col min="15633" max="15633" width="8.5" style="91" bestFit="1" customWidth="1"/>
    <col min="15634" max="15634" width="19.875" style="91" bestFit="1" customWidth="1"/>
    <col min="15635" max="15875" width="9" style="91"/>
    <col min="15876" max="15876" width="8.375" style="91" bestFit="1" customWidth="1"/>
    <col min="15877" max="15877" width="14.375" style="91" bestFit="1" customWidth="1"/>
    <col min="15878" max="15878" width="7.5" style="91" bestFit="1" customWidth="1"/>
    <col min="15879" max="15879" width="9" style="91" bestFit="1" customWidth="1"/>
    <col min="15880" max="15880" width="11.25" style="91" bestFit="1" customWidth="1"/>
    <col min="15881" max="15881" width="40.75" style="91" customWidth="1"/>
    <col min="15882" max="15882" width="14.625" style="91" bestFit="1" customWidth="1"/>
    <col min="15883" max="15883" width="54.875" style="91" customWidth="1"/>
    <col min="15884" max="15884" width="11.25" style="91" bestFit="1" customWidth="1"/>
    <col min="15885" max="15885" width="9" style="91" bestFit="1" customWidth="1"/>
    <col min="15886" max="15886" width="10.375" style="91" bestFit="1" customWidth="1"/>
    <col min="15887" max="15887" width="7.5" style="91" bestFit="1" customWidth="1"/>
    <col min="15888" max="15888" width="22.75" style="91" bestFit="1" customWidth="1"/>
    <col min="15889" max="15889" width="8.5" style="91" bestFit="1" customWidth="1"/>
    <col min="15890" max="15890" width="19.875" style="91" bestFit="1" customWidth="1"/>
    <col min="15891" max="16131" width="9" style="91"/>
    <col min="16132" max="16132" width="8.375" style="91" bestFit="1" customWidth="1"/>
    <col min="16133" max="16133" width="14.375" style="91" bestFit="1" customWidth="1"/>
    <col min="16134" max="16134" width="7.5" style="91" bestFit="1" customWidth="1"/>
    <col min="16135" max="16135" width="9" style="91" bestFit="1" customWidth="1"/>
    <col min="16136" max="16136" width="11.25" style="91" bestFit="1" customWidth="1"/>
    <col min="16137" max="16137" width="40.75" style="91" customWidth="1"/>
    <col min="16138" max="16138" width="14.625" style="91" bestFit="1" customWidth="1"/>
    <col min="16139" max="16139" width="54.875" style="91" customWidth="1"/>
    <col min="16140" max="16140" width="11.25" style="91" bestFit="1" customWidth="1"/>
    <col min="16141" max="16141" width="9" style="91" bestFit="1" customWidth="1"/>
    <col min="16142" max="16142" width="10.375" style="91" bestFit="1" customWidth="1"/>
    <col min="16143" max="16143" width="7.5" style="91" bestFit="1" customWidth="1"/>
    <col min="16144" max="16144" width="22.75" style="91" bestFit="1" customWidth="1"/>
    <col min="16145" max="16145" width="8.5" style="91" bestFit="1" customWidth="1"/>
    <col min="16146" max="16146" width="19.875" style="91" bestFit="1" customWidth="1"/>
    <col min="16147" max="16384" width="9" style="91"/>
  </cols>
  <sheetData>
    <row r="1" spans="1:17" ht="17.850000000000001" customHeight="1">
      <c r="A1" s="255" t="s">
        <v>1219</v>
      </c>
      <c r="B1" s="256"/>
      <c r="C1" s="256"/>
      <c r="D1" s="256"/>
      <c r="E1" s="256"/>
      <c r="F1" s="256"/>
      <c r="G1" s="256"/>
      <c r="J1" s="90"/>
    </row>
    <row r="2" spans="1:17" s="90" customFormat="1" ht="13.15" customHeight="1">
      <c r="A2" s="250" t="s">
        <v>6</v>
      </c>
      <c r="B2" s="250" t="s">
        <v>1220</v>
      </c>
      <c r="C2" s="251" t="s">
        <v>1221</v>
      </c>
      <c r="D2" s="252"/>
      <c r="E2" s="253"/>
      <c r="F2" s="253"/>
      <c r="G2" s="254"/>
      <c r="H2" s="251" t="s">
        <v>1222</v>
      </c>
      <c r="I2" s="252"/>
      <c r="J2" s="253"/>
      <c r="K2" s="253"/>
      <c r="L2" s="254"/>
      <c r="M2" s="250" t="s">
        <v>1097</v>
      </c>
      <c r="N2" s="250" t="s">
        <v>1098</v>
      </c>
      <c r="O2" s="250" t="s">
        <v>1099</v>
      </c>
      <c r="P2" s="250" t="s">
        <v>1100</v>
      </c>
      <c r="Q2" s="250" t="s">
        <v>7</v>
      </c>
    </row>
    <row r="3" spans="1:17" s="90" customFormat="1" ht="27">
      <c r="A3" s="250"/>
      <c r="B3" s="250"/>
      <c r="C3" s="93" t="s">
        <v>1095</v>
      </c>
      <c r="D3" s="93" t="s">
        <v>1096</v>
      </c>
      <c r="E3" s="115" t="s">
        <v>1092</v>
      </c>
      <c r="F3" s="115" t="s">
        <v>1093</v>
      </c>
      <c r="G3" s="93" t="s">
        <v>1223</v>
      </c>
      <c r="H3" s="93" t="s">
        <v>1095</v>
      </c>
      <c r="I3" s="93" t="s">
        <v>1096</v>
      </c>
      <c r="J3" s="115" t="s">
        <v>1092</v>
      </c>
      <c r="K3" s="115" t="s">
        <v>1093</v>
      </c>
      <c r="L3" s="93" t="s">
        <v>1223</v>
      </c>
      <c r="M3" s="250"/>
      <c r="N3" s="250"/>
      <c r="O3" s="250"/>
      <c r="P3" s="250"/>
      <c r="Q3" s="250"/>
    </row>
    <row r="4" spans="1:17" ht="12" customHeight="1">
      <c r="A4" s="248" t="s">
        <v>1101</v>
      </c>
      <c r="B4" s="248" t="s">
        <v>1224</v>
      </c>
      <c r="C4" s="105" t="s">
        <v>70</v>
      </c>
      <c r="D4" s="39" t="s">
        <v>75</v>
      </c>
      <c r="E4" s="248">
        <v>30101</v>
      </c>
      <c r="F4" s="257">
        <v>30901</v>
      </c>
      <c r="G4" s="248">
        <v>21140</v>
      </c>
      <c r="H4" s="105" t="s">
        <v>70</v>
      </c>
      <c r="I4" s="39" t="s">
        <v>1225</v>
      </c>
      <c r="J4" s="248">
        <v>29101</v>
      </c>
      <c r="K4" s="257">
        <v>29901</v>
      </c>
      <c r="L4" s="248">
        <v>11140</v>
      </c>
      <c r="M4" s="248" t="s">
        <v>61</v>
      </c>
      <c r="N4" s="239" t="s">
        <v>1226</v>
      </c>
      <c r="O4" s="248" t="s">
        <v>1227</v>
      </c>
      <c r="P4" s="248" t="s">
        <v>1228</v>
      </c>
      <c r="Q4" s="249"/>
    </row>
    <row r="5" spans="1:17">
      <c r="A5" s="248"/>
      <c r="B5" s="248"/>
      <c r="C5" s="105" t="s">
        <v>1229</v>
      </c>
      <c r="D5" s="39" t="s">
        <v>1230</v>
      </c>
      <c r="E5" s="248"/>
      <c r="F5" s="257"/>
      <c r="G5" s="248"/>
      <c r="H5" s="105" t="s">
        <v>1229</v>
      </c>
      <c r="I5" s="39" t="s">
        <v>1231</v>
      </c>
      <c r="J5" s="248"/>
      <c r="K5" s="257"/>
      <c r="L5" s="248"/>
      <c r="M5" s="248"/>
      <c r="N5" s="240"/>
      <c r="O5" s="248"/>
      <c r="P5" s="248"/>
      <c r="Q5" s="249"/>
    </row>
    <row r="6" spans="1:17">
      <c r="A6" s="248"/>
      <c r="B6" s="248"/>
      <c r="C6" s="105" t="s">
        <v>1232</v>
      </c>
      <c r="D6" s="39" t="s">
        <v>114</v>
      </c>
      <c r="E6" s="248"/>
      <c r="F6" s="257"/>
      <c r="G6" s="248"/>
      <c r="H6" s="105" t="s">
        <v>1233</v>
      </c>
      <c r="I6" s="39" t="s">
        <v>1234</v>
      </c>
      <c r="J6" s="248"/>
      <c r="K6" s="257"/>
      <c r="L6" s="248"/>
      <c r="M6" s="248"/>
      <c r="N6" s="240"/>
      <c r="O6" s="248"/>
      <c r="P6" s="248"/>
      <c r="Q6" s="249"/>
    </row>
    <row r="7" spans="1:17">
      <c r="A7" s="248"/>
      <c r="B7" s="248"/>
      <c r="C7" s="105" t="s">
        <v>115</v>
      </c>
      <c r="D7" s="39" t="s">
        <v>1235</v>
      </c>
      <c r="E7" s="248"/>
      <c r="F7" s="257"/>
      <c r="G7" s="248"/>
      <c r="H7" s="105" t="s">
        <v>115</v>
      </c>
      <c r="I7" s="39" t="s">
        <v>1236</v>
      </c>
      <c r="J7" s="248"/>
      <c r="K7" s="257"/>
      <c r="L7" s="248"/>
      <c r="M7" s="248"/>
      <c r="N7" s="240"/>
      <c r="O7" s="248"/>
      <c r="P7" s="248"/>
      <c r="Q7" s="249"/>
    </row>
    <row r="8" spans="1:17" ht="12.75" customHeight="1">
      <c r="A8" s="245" t="s">
        <v>1139</v>
      </c>
      <c r="B8" s="245" t="s">
        <v>1237</v>
      </c>
      <c r="C8" s="105" t="s">
        <v>152</v>
      </c>
      <c r="D8" s="39" t="s">
        <v>154</v>
      </c>
      <c r="E8" s="245">
        <v>30102</v>
      </c>
      <c r="F8" s="245">
        <v>30902</v>
      </c>
      <c r="G8" s="245">
        <v>21140</v>
      </c>
      <c r="H8" s="105" t="s">
        <v>152</v>
      </c>
      <c r="I8" s="39" t="s">
        <v>1238</v>
      </c>
      <c r="J8" s="245">
        <v>29102</v>
      </c>
      <c r="K8" s="245">
        <v>29902</v>
      </c>
      <c r="L8" s="245">
        <v>11140</v>
      </c>
      <c r="M8" s="245" t="s">
        <v>61</v>
      </c>
      <c r="N8" s="240"/>
      <c r="O8" s="245" t="s">
        <v>1227</v>
      </c>
      <c r="P8" s="245" t="s">
        <v>1228</v>
      </c>
      <c r="Q8" s="245"/>
    </row>
    <row r="9" spans="1:17" ht="12.75" customHeight="1">
      <c r="A9" s="246"/>
      <c r="B9" s="246"/>
      <c r="C9" s="105" t="s">
        <v>1239</v>
      </c>
      <c r="D9" s="39" t="s">
        <v>365</v>
      </c>
      <c r="E9" s="246"/>
      <c r="F9" s="246"/>
      <c r="G9" s="246"/>
      <c r="H9" s="105" t="s">
        <v>1239</v>
      </c>
      <c r="I9" s="39" t="s">
        <v>1240</v>
      </c>
      <c r="J9" s="246"/>
      <c r="K9" s="246"/>
      <c r="L9" s="246"/>
      <c r="M9" s="246"/>
      <c r="N9" s="240"/>
      <c r="O9" s="246"/>
      <c r="P9" s="246"/>
      <c r="Q9" s="246"/>
    </row>
    <row r="10" spans="1:17" ht="12.75" customHeight="1">
      <c r="A10" s="246"/>
      <c r="B10" s="246"/>
      <c r="C10" s="105" t="s">
        <v>161</v>
      </c>
      <c r="D10" s="39" t="s">
        <v>163</v>
      </c>
      <c r="E10" s="246"/>
      <c r="F10" s="246"/>
      <c r="G10" s="246"/>
      <c r="H10" s="105" t="s">
        <v>161</v>
      </c>
      <c r="I10" s="39" t="s">
        <v>1241</v>
      </c>
      <c r="J10" s="246"/>
      <c r="K10" s="246"/>
      <c r="L10" s="246"/>
      <c r="M10" s="246"/>
      <c r="N10" s="240"/>
      <c r="O10" s="246"/>
      <c r="P10" s="246"/>
      <c r="Q10" s="246"/>
    </row>
    <row r="11" spans="1:17" ht="12.75" customHeight="1">
      <c r="A11" s="246"/>
      <c r="B11" s="246"/>
      <c r="C11" s="105" t="s">
        <v>164</v>
      </c>
      <c r="D11" s="39" t="s">
        <v>166</v>
      </c>
      <c r="E11" s="246"/>
      <c r="F11" s="246"/>
      <c r="G11" s="246"/>
      <c r="H11" s="105" t="s">
        <v>164</v>
      </c>
      <c r="I11" s="39" t="s">
        <v>1242</v>
      </c>
      <c r="J11" s="246"/>
      <c r="K11" s="246"/>
      <c r="L11" s="246"/>
      <c r="M11" s="246"/>
      <c r="N11" s="240"/>
      <c r="O11" s="246"/>
      <c r="P11" s="246"/>
      <c r="Q11" s="246"/>
    </row>
    <row r="12" spans="1:17" ht="12.75" customHeight="1">
      <c r="A12" s="246"/>
      <c r="B12" s="246"/>
      <c r="C12" s="105" t="s">
        <v>170</v>
      </c>
      <c r="D12" s="39" t="s">
        <v>172</v>
      </c>
      <c r="E12" s="246"/>
      <c r="F12" s="246"/>
      <c r="G12" s="246"/>
      <c r="H12" s="105" t="s">
        <v>170</v>
      </c>
      <c r="I12" s="39" t="s">
        <v>1243</v>
      </c>
      <c r="J12" s="246"/>
      <c r="K12" s="246"/>
      <c r="L12" s="246"/>
      <c r="M12" s="246"/>
      <c r="N12" s="240"/>
      <c r="O12" s="246"/>
      <c r="P12" s="246"/>
      <c r="Q12" s="246"/>
    </row>
    <row r="13" spans="1:17" ht="12.75" customHeight="1">
      <c r="A13" s="246"/>
      <c r="B13" s="246"/>
      <c r="C13" s="105" t="s">
        <v>173</v>
      </c>
      <c r="D13" s="39" t="s">
        <v>175</v>
      </c>
      <c r="E13" s="246"/>
      <c r="F13" s="246"/>
      <c r="G13" s="246"/>
      <c r="H13" s="105" t="s">
        <v>173</v>
      </c>
      <c r="I13" s="39" t="s">
        <v>1244</v>
      </c>
      <c r="J13" s="246"/>
      <c r="K13" s="246"/>
      <c r="L13" s="246"/>
      <c r="M13" s="246"/>
      <c r="N13" s="240"/>
      <c r="O13" s="246"/>
      <c r="P13" s="246"/>
      <c r="Q13" s="246"/>
    </row>
    <row r="14" spans="1:17" ht="12.75" customHeight="1">
      <c r="A14" s="246"/>
      <c r="B14" s="246"/>
      <c r="C14" s="105" t="s">
        <v>468</v>
      </c>
      <c r="D14" s="39" t="s">
        <v>178</v>
      </c>
      <c r="E14" s="246"/>
      <c r="F14" s="246"/>
      <c r="G14" s="246"/>
      <c r="H14" s="105" t="s">
        <v>468</v>
      </c>
      <c r="I14" s="39" t="s">
        <v>1245</v>
      </c>
      <c r="J14" s="246"/>
      <c r="K14" s="246"/>
      <c r="L14" s="246"/>
      <c r="M14" s="246"/>
      <c r="N14" s="240"/>
      <c r="O14" s="246"/>
      <c r="P14" s="246"/>
      <c r="Q14" s="246"/>
    </row>
    <row r="15" spans="1:17" ht="12.75" customHeight="1">
      <c r="A15" s="246"/>
      <c r="B15" s="246"/>
      <c r="C15" s="105" t="s">
        <v>179</v>
      </c>
      <c r="D15" s="39" t="s">
        <v>181</v>
      </c>
      <c r="E15" s="246"/>
      <c r="F15" s="246"/>
      <c r="G15" s="246"/>
      <c r="H15" s="105" t="s">
        <v>179</v>
      </c>
      <c r="I15" s="39" t="s">
        <v>1246</v>
      </c>
      <c r="J15" s="247"/>
      <c r="K15" s="247"/>
      <c r="L15" s="247"/>
      <c r="M15" s="247"/>
      <c r="N15" s="240"/>
      <c r="O15" s="247"/>
      <c r="P15" s="247"/>
      <c r="Q15" s="247"/>
    </row>
    <row r="16" spans="1:17" ht="12.75" customHeight="1">
      <c r="A16" s="248" t="s">
        <v>1247</v>
      </c>
      <c r="B16" s="248" t="s">
        <v>1248</v>
      </c>
      <c r="C16" s="105" t="s">
        <v>155</v>
      </c>
      <c r="D16" s="39" t="s">
        <v>157</v>
      </c>
      <c r="E16" s="248">
        <v>30103</v>
      </c>
      <c r="F16" s="248">
        <v>30903</v>
      </c>
      <c r="G16" s="248">
        <v>21140</v>
      </c>
      <c r="H16" s="105" t="s">
        <v>155</v>
      </c>
      <c r="I16" s="39" t="s">
        <v>1249</v>
      </c>
      <c r="J16" s="248">
        <v>29103</v>
      </c>
      <c r="K16" s="248">
        <v>29903</v>
      </c>
      <c r="L16" s="248">
        <v>11140</v>
      </c>
      <c r="M16" s="248" t="s">
        <v>61</v>
      </c>
      <c r="N16" s="240"/>
      <c r="O16" s="248" t="s">
        <v>1227</v>
      </c>
      <c r="P16" s="248" t="s">
        <v>1228</v>
      </c>
      <c r="Q16" s="249"/>
    </row>
    <row r="17" spans="1:17" ht="12.75" customHeight="1">
      <c r="A17" s="248"/>
      <c r="B17" s="248"/>
      <c r="C17" s="105" t="s">
        <v>1250</v>
      </c>
      <c r="D17" s="39" t="s">
        <v>169</v>
      </c>
      <c r="E17" s="248"/>
      <c r="F17" s="248"/>
      <c r="G17" s="248"/>
      <c r="H17" s="105" t="s">
        <v>1250</v>
      </c>
      <c r="I17" s="39" t="s">
        <v>1251</v>
      </c>
      <c r="J17" s="248"/>
      <c r="K17" s="248"/>
      <c r="L17" s="248"/>
      <c r="M17" s="248"/>
      <c r="N17" s="240"/>
      <c r="O17" s="248"/>
      <c r="P17" s="248"/>
      <c r="Q17" s="249"/>
    </row>
    <row r="18" spans="1:17" ht="12.75" customHeight="1">
      <c r="A18" s="245" t="s">
        <v>1247</v>
      </c>
      <c r="B18" s="245" t="s">
        <v>1252</v>
      </c>
      <c r="C18" s="105" t="s">
        <v>1253</v>
      </c>
      <c r="D18" s="39" t="s">
        <v>1254</v>
      </c>
      <c r="E18" s="245">
        <v>30104</v>
      </c>
      <c r="F18" s="245">
        <v>30904</v>
      </c>
      <c r="G18" s="245">
        <v>21140</v>
      </c>
      <c r="H18" s="105" t="s">
        <v>1253</v>
      </c>
      <c r="I18" s="39" t="s">
        <v>1255</v>
      </c>
      <c r="J18" s="245">
        <v>29104</v>
      </c>
      <c r="K18" s="245">
        <v>29904</v>
      </c>
      <c r="L18" s="245">
        <v>11140</v>
      </c>
      <c r="M18" s="245" t="s">
        <v>61</v>
      </c>
      <c r="N18" s="240"/>
      <c r="O18" s="245" t="s">
        <v>1252</v>
      </c>
      <c r="P18" s="245" t="s">
        <v>542</v>
      </c>
      <c r="Q18" s="245"/>
    </row>
    <row r="19" spans="1:17" ht="12.75" customHeight="1">
      <c r="A19" s="246"/>
      <c r="B19" s="246"/>
      <c r="C19" s="106" t="s">
        <v>209</v>
      </c>
      <c r="D19" s="39" t="s">
        <v>212</v>
      </c>
      <c r="E19" s="246"/>
      <c r="F19" s="246"/>
      <c r="G19" s="246"/>
      <c r="H19" s="105" t="s">
        <v>209</v>
      </c>
      <c r="I19" s="39" t="s">
        <v>1256</v>
      </c>
      <c r="J19" s="246"/>
      <c r="K19" s="246"/>
      <c r="L19" s="246"/>
      <c r="M19" s="246"/>
      <c r="N19" s="240"/>
      <c r="O19" s="246"/>
      <c r="P19" s="246"/>
      <c r="Q19" s="246"/>
    </row>
    <row r="20" spans="1:17" ht="12.75" customHeight="1">
      <c r="A20" s="246"/>
      <c r="B20" s="246"/>
      <c r="C20" s="106" t="s">
        <v>213</v>
      </c>
      <c r="D20" s="39" t="s">
        <v>215</v>
      </c>
      <c r="E20" s="246"/>
      <c r="F20" s="246"/>
      <c r="G20" s="246"/>
      <c r="H20" s="105" t="s">
        <v>213</v>
      </c>
      <c r="I20" s="39" t="s">
        <v>1257</v>
      </c>
      <c r="J20" s="246"/>
      <c r="K20" s="246"/>
      <c r="L20" s="246"/>
      <c r="M20" s="246"/>
      <c r="N20" s="240"/>
      <c r="O20" s="246"/>
      <c r="P20" s="246"/>
      <c r="Q20" s="246"/>
    </row>
    <row r="21" spans="1:17" ht="12.75" customHeight="1">
      <c r="A21" s="246"/>
      <c r="B21" s="246"/>
      <c r="C21" s="106" t="s">
        <v>216</v>
      </c>
      <c r="D21" s="39" t="s">
        <v>218</v>
      </c>
      <c r="E21" s="246"/>
      <c r="F21" s="246"/>
      <c r="G21" s="246"/>
      <c r="H21" s="105" t="s">
        <v>216</v>
      </c>
      <c r="I21" s="39" t="s">
        <v>1258</v>
      </c>
      <c r="J21" s="246"/>
      <c r="K21" s="246"/>
      <c r="L21" s="246"/>
      <c r="M21" s="246"/>
      <c r="N21" s="240"/>
      <c r="O21" s="246"/>
      <c r="P21" s="246"/>
      <c r="Q21" s="246"/>
    </row>
    <row r="22" spans="1:17" ht="12.75" customHeight="1">
      <c r="A22" s="246"/>
      <c r="B22" s="246"/>
      <c r="C22" s="106" t="s">
        <v>219</v>
      </c>
      <c r="D22" s="39" t="s">
        <v>221</v>
      </c>
      <c r="E22" s="246"/>
      <c r="F22" s="246"/>
      <c r="G22" s="246"/>
      <c r="H22" s="105" t="s">
        <v>219</v>
      </c>
      <c r="I22" s="39" t="s">
        <v>1259</v>
      </c>
      <c r="J22" s="246"/>
      <c r="K22" s="246"/>
      <c r="L22" s="246"/>
      <c r="M22" s="246"/>
      <c r="N22" s="240"/>
      <c r="O22" s="246"/>
      <c r="P22" s="246"/>
      <c r="Q22" s="246"/>
    </row>
    <row r="23" spans="1:17" ht="12.75" customHeight="1">
      <c r="A23" s="246"/>
      <c r="B23" s="246"/>
      <c r="C23" s="106" t="s">
        <v>222</v>
      </c>
      <c r="D23" s="39" t="s">
        <v>223</v>
      </c>
      <c r="E23" s="246"/>
      <c r="F23" s="246"/>
      <c r="G23" s="246"/>
      <c r="H23" s="105" t="s">
        <v>222</v>
      </c>
      <c r="I23" s="39" t="s">
        <v>223</v>
      </c>
      <c r="J23" s="246"/>
      <c r="K23" s="246"/>
      <c r="L23" s="246"/>
      <c r="M23" s="246"/>
      <c r="N23" s="240"/>
      <c r="O23" s="246"/>
      <c r="P23" s="246"/>
      <c r="Q23" s="246"/>
    </row>
    <row r="24" spans="1:17" ht="12.75" customHeight="1">
      <c r="A24" s="246"/>
      <c r="B24" s="246"/>
      <c r="C24" s="106" t="s">
        <v>206</v>
      </c>
      <c r="D24" s="39" t="s">
        <v>208</v>
      </c>
      <c r="E24" s="246"/>
      <c r="F24" s="246"/>
      <c r="G24" s="246"/>
      <c r="H24" s="105" t="s">
        <v>206</v>
      </c>
      <c r="I24" s="39" t="s">
        <v>1260</v>
      </c>
      <c r="J24" s="246"/>
      <c r="K24" s="246"/>
      <c r="L24" s="246"/>
      <c r="M24" s="246"/>
      <c r="N24" s="240"/>
      <c r="O24" s="246"/>
      <c r="P24" s="246"/>
      <c r="Q24" s="246"/>
    </row>
    <row r="25" spans="1:17" ht="12.75" customHeight="1">
      <c r="A25" s="246"/>
      <c r="B25" s="246"/>
      <c r="C25" s="106" t="s">
        <v>224</v>
      </c>
      <c r="D25" s="39" t="s">
        <v>226</v>
      </c>
      <c r="E25" s="246"/>
      <c r="F25" s="246"/>
      <c r="G25" s="246"/>
      <c r="H25" s="105" t="s">
        <v>224</v>
      </c>
      <c r="I25" s="39" t="s">
        <v>1261</v>
      </c>
      <c r="J25" s="246"/>
      <c r="K25" s="246"/>
      <c r="L25" s="246"/>
      <c r="M25" s="246"/>
      <c r="N25" s="240"/>
      <c r="O25" s="246"/>
      <c r="P25" s="246"/>
      <c r="Q25" s="246"/>
    </row>
    <row r="26" spans="1:17" ht="12.75" customHeight="1">
      <c r="A26" s="247"/>
      <c r="B26" s="247"/>
      <c r="C26" s="106" t="s">
        <v>227</v>
      </c>
      <c r="D26" s="39" t="s">
        <v>228</v>
      </c>
      <c r="E26" s="247"/>
      <c r="F26" s="247"/>
      <c r="G26" s="247"/>
      <c r="H26" s="105" t="s">
        <v>227</v>
      </c>
      <c r="I26" s="39" t="s">
        <v>228</v>
      </c>
      <c r="J26" s="247"/>
      <c r="K26" s="247"/>
      <c r="L26" s="247"/>
      <c r="M26" s="247"/>
      <c r="N26" s="240"/>
      <c r="O26" s="247"/>
      <c r="P26" s="247"/>
      <c r="Q26" s="247"/>
    </row>
    <row r="27" spans="1:17" ht="12.75" customHeight="1">
      <c r="A27" s="248" t="s">
        <v>1247</v>
      </c>
      <c r="B27" s="248" t="s">
        <v>194</v>
      </c>
      <c r="C27" s="105" t="s">
        <v>194</v>
      </c>
      <c r="D27" s="39" t="s">
        <v>196</v>
      </c>
      <c r="E27" s="248">
        <v>30105</v>
      </c>
      <c r="F27" s="248">
        <v>30905</v>
      </c>
      <c r="G27" s="248">
        <v>21140</v>
      </c>
      <c r="H27" s="105" t="s">
        <v>194</v>
      </c>
      <c r="I27" s="39" t="s">
        <v>1262</v>
      </c>
      <c r="J27" s="248">
        <v>29105</v>
      </c>
      <c r="K27" s="248">
        <v>29905</v>
      </c>
      <c r="L27" s="248">
        <v>11140</v>
      </c>
      <c r="M27" s="248" t="s">
        <v>61</v>
      </c>
      <c r="N27" s="240"/>
      <c r="O27" s="248" t="s">
        <v>1263</v>
      </c>
      <c r="P27" s="248" t="s">
        <v>1228</v>
      </c>
      <c r="Q27" s="249"/>
    </row>
    <row r="28" spans="1:17" ht="12.75" customHeight="1">
      <c r="A28" s="248"/>
      <c r="B28" s="248"/>
      <c r="C28" s="105" t="s">
        <v>1264</v>
      </c>
      <c r="D28" s="39" t="s">
        <v>199</v>
      </c>
      <c r="E28" s="248"/>
      <c r="F28" s="248"/>
      <c r="G28" s="248"/>
      <c r="H28" s="105" t="s">
        <v>1264</v>
      </c>
      <c r="I28" s="39" t="s">
        <v>1265</v>
      </c>
      <c r="J28" s="248"/>
      <c r="K28" s="248"/>
      <c r="L28" s="248"/>
      <c r="M28" s="248"/>
      <c r="N28" s="240"/>
      <c r="O28" s="248"/>
      <c r="P28" s="248"/>
      <c r="Q28" s="249"/>
    </row>
    <row r="29" spans="1:17" ht="12.75" customHeight="1">
      <c r="A29" s="248" t="s">
        <v>1247</v>
      </c>
      <c r="B29" s="248" t="s">
        <v>1266</v>
      </c>
      <c r="C29" s="105" t="s">
        <v>188</v>
      </c>
      <c r="D29" s="39" t="s">
        <v>190</v>
      </c>
      <c r="E29" s="248">
        <v>30106</v>
      </c>
      <c r="F29" s="248">
        <v>30906</v>
      </c>
      <c r="G29" s="248">
        <v>21140</v>
      </c>
      <c r="H29" s="105" t="s">
        <v>188</v>
      </c>
      <c r="I29" s="39" t="s">
        <v>1267</v>
      </c>
      <c r="J29" s="248">
        <v>29106</v>
      </c>
      <c r="K29" s="248">
        <v>29906</v>
      </c>
      <c r="L29" s="248">
        <v>11140</v>
      </c>
      <c r="M29" s="245" t="s">
        <v>61</v>
      </c>
      <c r="N29" s="240"/>
      <c r="O29" s="245" t="s">
        <v>1268</v>
      </c>
      <c r="P29" s="245" t="s">
        <v>1228</v>
      </c>
      <c r="Q29" s="245"/>
    </row>
    <row r="30" spans="1:17" ht="12.75" customHeight="1">
      <c r="A30" s="248"/>
      <c r="B30" s="248"/>
      <c r="C30" s="105" t="s">
        <v>191</v>
      </c>
      <c r="D30" s="39" t="s">
        <v>193</v>
      </c>
      <c r="E30" s="248"/>
      <c r="F30" s="248"/>
      <c r="G30" s="248"/>
      <c r="H30" s="105" t="s">
        <v>191</v>
      </c>
      <c r="I30" s="39" t="s">
        <v>1269</v>
      </c>
      <c r="J30" s="248"/>
      <c r="K30" s="248"/>
      <c r="L30" s="248"/>
      <c r="M30" s="247"/>
      <c r="N30" s="240"/>
      <c r="O30" s="247"/>
      <c r="P30" s="247"/>
      <c r="Q30" s="247"/>
    </row>
    <row r="31" spans="1:17" ht="24" customHeight="1">
      <c r="A31" s="47" t="s">
        <v>1247</v>
      </c>
      <c r="B31" s="47" t="s">
        <v>1270</v>
      </c>
      <c r="C31" s="105" t="s">
        <v>1271</v>
      </c>
      <c r="D31" s="39" t="s">
        <v>1272</v>
      </c>
      <c r="E31" s="47">
        <v>30107</v>
      </c>
      <c r="F31" s="47">
        <v>30907</v>
      </c>
      <c r="G31" s="47">
        <v>21140</v>
      </c>
      <c r="H31" s="105" t="s">
        <v>273</v>
      </c>
      <c r="I31" s="39" t="s">
        <v>1273</v>
      </c>
      <c r="J31" s="47">
        <v>29107</v>
      </c>
      <c r="K31" s="47">
        <v>29907</v>
      </c>
      <c r="L31" s="47">
        <v>11140</v>
      </c>
      <c r="M31" s="47" t="s">
        <v>61</v>
      </c>
      <c r="N31" s="240"/>
      <c r="O31" s="47" t="s">
        <v>1274</v>
      </c>
      <c r="P31" s="47" t="s">
        <v>1274</v>
      </c>
      <c r="Q31" s="47"/>
    </row>
    <row r="32" spans="1:17" ht="12.75" customHeight="1">
      <c r="A32" s="245" t="s">
        <v>1275</v>
      </c>
      <c r="B32" s="245" t="s">
        <v>1224</v>
      </c>
      <c r="C32" s="105" t="s">
        <v>79</v>
      </c>
      <c r="D32" s="39" t="s">
        <v>1276</v>
      </c>
      <c r="E32" s="245">
        <v>30108</v>
      </c>
      <c r="F32" s="245">
        <v>30908</v>
      </c>
      <c r="G32" s="245">
        <v>21140</v>
      </c>
      <c r="H32" s="105" t="s">
        <v>79</v>
      </c>
      <c r="I32" s="39" t="s">
        <v>1277</v>
      </c>
      <c r="J32" s="245">
        <v>29108</v>
      </c>
      <c r="K32" s="245">
        <v>29908</v>
      </c>
      <c r="L32" s="245">
        <v>11140</v>
      </c>
      <c r="M32" s="245" t="s">
        <v>61</v>
      </c>
      <c r="N32" s="240"/>
      <c r="O32" s="245" t="s">
        <v>1227</v>
      </c>
      <c r="P32" s="245" t="s">
        <v>1228</v>
      </c>
      <c r="Q32" s="245"/>
    </row>
    <row r="33" spans="1:17" ht="12.75" customHeight="1">
      <c r="A33" s="247"/>
      <c r="B33" s="247"/>
      <c r="C33" s="105" t="s">
        <v>117</v>
      </c>
      <c r="D33" s="39" t="s">
        <v>1278</v>
      </c>
      <c r="E33" s="247"/>
      <c r="F33" s="247">
        <v>30908</v>
      </c>
      <c r="G33" s="247">
        <v>21140</v>
      </c>
      <c r="H33" s="105" t="s">
        <v>117</v>
      </c>
      <c r="I33" s="39" t="s">
        <v>1279</v>
      </c>
      <c r="J33" s="247">
        <v>29108</v>
      </c>
      <c r="K33" s="247">
        <v>29908</v>
      </c>
      <c r="L33" s="247">
        <v>11140</v>
      </c>
      <c r="M33" s="247" t="s">
        <v>61</v>
      </c>
      <c r="N33" s="240"/>
      <c r="O33" s="247" t="s">
        <v>1227</v>
      </c>
      <c r="P33" s="247" t="s">
        <v>1228</v>
      </c>
      <c r="Q33" s="247"/>
    </row>
    <row r="34" spans="1:17" ht="24" customHeight="1">
      <c r="A34" s="47" t="s">
        <v>1247</v>
      </c>
      <c r="B34" s="38" t="s">
        <v>1237</v>
      </c>
      <c r="C34" s="105" t="s">
        <v>182</v>
      </c>
      <c r="D34" s="39" t="s">
        <v>184</v>
      </c>
      <c r="E34" s="38">
        <v>30109</v>
      </c>
      <c r="F34" s="38">
        <v>30909</v>
      </c>
      <c r="G34" s="38">
        <v>21140</v>
      </c>
      <c r="H34" s="105" t="s">
        <v>182</v>
      </c>
      <c r="I34" s="39" t="s">
        <v>1280</v>
      </c>
      <c r="J34" s="38">
        <v>29109</v>
      </c>
      <c r="K34" s="38">
        <v>29909</v>
      </c>
      <c r="L34" s="38">
        <v>11140</v>
      </c>
      <c r="M34" s="38" t="s">
        <v>61</v>
      </c>
      <c r="N34" s="240"/>
      <c r="O34" s="38" t="s">
        <v>1227</v>
      </c>
      <c r="P34" s="38" t="s">
        <v>1228</v>
      </c>
      <c r="Q34" s="38"/>
    </row>
    <row r="35" spans="1:17" ht="12.75" customHeight="1">
      <c r="A35" s="245" t="s">
        <v>1247</v>
      </c>
      <c r="B35" s="245" t="s">
        <v>1237</v>
      </c>
      <c r="C35" s="105" t="s">
        <v>145</v>
      </c>
      <c r="D35" s="39" t="s">
        <v>147</v>
      </c>
      <c r="E35" s="248">
        <v>30110</v>
      </c>
      <c r="F35" s="248">
        <v>30910</v>
      </c>
      <c r="G35" s="248">
        <v>21140</v>
      </c>
      <c r="H35" s="105" t="s">
        <v>145</v>
      </c>
      <c r="I35" s="39" t="s">
        <v>1281</v>
      </c>
      <c r="J35" s="248">
        <v>29110</v>
      </c>
      <c r="K35" s="248">
        <v>29910</v>
      </c>
      <c r="L35" s="248">
        <v>11140</v>
      </c>
      <c r="M35" s="245" t="s">
        <v>61</v>
      </c>
      <c r="N35" s="240"/>
      <c r="O35" s="245" t="s">
        <v>1227</v>
      </c>
      <c r="P35" s="245" t="s">
        <v>1228</v>
      </c>
      <c r="Q35" s="245"/>
    </row>
    <row r="36" spans="1:17" ht="12.75" customHeight="1">
      <c r="A36" s="247"/>
      <c r="B36" s="247"/>
      <c r="C36" s="105" t="s">
        <v>148</v>
      </c>
      <c r="D36" s="39" t="s">
        <v>151</v>
      </c>
      <c r="E36" s="248"/>
      <c r="F36" s="248"/>
      <c r="G36" s="248"/>
      <c r="H36" s="105" t="s">
        <v>148</v>
      </c>
      <c r="I36" s="39" t="s">
        <v>1282</v>
      </c>
      <c r="J36" s="248"/>
      <c r="K36" s="248"/>
      <c r="L36" s="248"/>
      <c r="M36" s="247"/>
      <c r="N36" s="241"/>
      <c r="O36" s="247"/>
      <c r="P36" s="247"/>
      <c r="Q36" s="247"/>
    </row>
  </sheetData>
  <mergeCells count="107">
    <mergeCell ref="A1:G1"/>
    <mergeCell ref="E16:E17"/>
    <mergeCell ref="F16:F17"/>
    <mergeCell ref="G16:G17"/>
    <mergeCell ref="E4:E7"/>
    <mergeCell ref="F4:F7"/>
    <mergeCell ref="G4:G7"/>
    <mergeCell ref="L4:L7"/>
    <mergeCell ref="A35:A36"/>
    <mergeCell ref="A27:A28"/>
    <mergeCell ref="A29:A30"/>
    <mergeCell ref="A16:A17"/>
    <mergeCell ref="A4:A7"/>
    <mergeCell ref="E35:E36"/>
    <mergeCell ref="A8:A15"/>
    <mergeCell ref="A18:A26"/>
    <mergeCell ref="A32:A33"/>
    <mergeCell ref="B32:B33"/>
    <mergeCell ref="J4:J7"/>
    <mergeCell ref="K4:K7"/>
    <mergeCell ref="B8:B15"/>
    <mergeCell ref="E8:E15"/>
    <mergeCell ref="F8:F15"/>
    <mergeCell ref="G8:G15"/>
    <mergeCell ref="Q2:Q3"/>
    <mergeCell ref="A2:A3"/>
    <mergeCell ref="B2:B3"/>
    <mergeCell ref="M2:M3"/>
    <mergeCell ref="N2:N3"/>
    <mergeCell ref="O2:O3"/>
    <mergeCell ref="P2:P3"/>
    <mergeCell ref="J16:J17"/>
    <mergeCell ref="K16:K17"/>
    <mergeCell ref="B16:B17"/>
    <mergeCell ref="M16:M17"/>
    <mergeCell ref="O16:O17"/>
    <mergeCell ref="P16:P17"/>
    <mergeCell ref="Q16:Q17"/>
    <mergeCell ref="O4:O7"/>
    <mergeCell ref="P4:P7"/>
    <mergeCell ref="C2:G2"/>
    <mergeCell ref="H2:L2"/>
    <mergeCell ref="Q4:Q7"/>
    <mergeCell ref="B4:B7"/>
    <mergeCell ref="M4:M7"/>
    <mergeCell ref="L16:L17"/>
    <mergeCell ref="B27:B28"/>
    <mergeCell ref="M27:M28"/>
    <mergeCell ref="B29:B30"/>
    <mergeCell ref="M29:M30"/>
    <mergeCell ref="O27:O28"/>
    <mergeCell ref="P27:P28"/>
    <mergeCell ref="Q27:Q28"/>
    <mergeCell ref="B18:B26"/>
    <mergeCell ref="Q18:Q26"/>
    <mergeCell ref="J27:J28"/>
    <mergeCell ref="K27:K28"/>
    <mergeCell ref="L27:L28"/>
    <mergeCell ref="J29:J30"/>
    <mergeCell ref="K29:K30"/>
    <mergeCell ref="L29:L30"/>
    <mergeCell ref="E27:E28"/>
    <mergeCell ref="F27:F28"/>
    <mergeCell ref="G27:G28"/>
    <mergeCell ref="E29:E30"/>
    <mergeCell ref="F29:F30"/>
    <mergeCell ref="G29:G30"/>
    <mergeCell ref="E18:E26"/>
    <mergeCell ref="F18:F26"/>
    <mergeCell ref="M18:M26"/>
    <mergeCell ref="O35:O36"/>
    <mergeCell ref="P35:P36"/>
    <mergeCell ref="Q35:Q36"/>
    <mergeCell ref="B35:B36"/>
    <mergeCell ref="M35:M36"/>
    <mergeCell ref="P29:P30"/>
    <mergeCell ref="Q29:Q30"/>
    <mergeCell ref="O29:O30"/>
    <mergeCell ref="J35:J36"/>
    <mergeCell ref="K35:K36"/>
    <mergeCell ref="L35:L36"/>
    <mergeCell ref="J32:J33"/>
    <mergeCell ref="K32:K33"/>
    <mergeCell ref="L32:L33"/>
    <mergeCell ref="F35:F36"/>
    <mergeCell ref="G35:G36"/>
    <mergeCell ref="E32:E33"/>
    <mergeCell ref="F32:F33"/>
    <mergeCell ref="G32:G33"/>
    <mergeCell ref="N4:N36"/>
    <mergeCell ref="G18:G26"/>
    <mergeCell ref="J18:J26"/>
    <mergeCell ref="K18:K26"/>
    <mergeCell ref="L18:L26"/>
    <mergeCell ref="O18:O26"/>
    <mergeCell ref="Q32:Q33"/>
    <mergeCell ref="J8:J15"/>
    <mergeCell ref="K8:K15"/>
    <mergeCell ref="L8:L15"/>
    <mergeCell ref="M8:M15"/>
    <mergeCell ref="O8:O15"/>
    <mergeCell ref="P8:P15"/>
    <mergeCell ref="Q8:Q15"/>
    <mergeCell ref="M32:M33"/>
    <mergeCell ref="O32:O33"/>
    <mergeCell ref="P32:P33"/>
    <mergeCell ref="P18:P26"/>
  </mergeCells>
  <phoneticPr fontId="27" type="noConversion"/>
  <pageMargins left="0.69972223043441772" right="0.69972223043441772" top="0.75" bottom="0.75" header="0.30000001192092896" footer="0.30000001192092896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1"/>
  <sheetViews>
    <sheetView zoomScaleNormal="100" zoomScaleSheetLayoutView="75" workbookViewId="0">
      <pane ySplit="2" topLeftCell="A3" activePane="bottomLeft" state="frozen"/>
      <selection pane="bottomLeft" activeCell="A50" sqref="A50:D50"/>
    </sheetView>
  </sheetViews>
  <sheetFormatPr defaultColWidth="9" defaultRowHeight="12.75"/>
  <cols>
    <col min="1" max="1" width="22.125" style="40" customWidth="1"/>
    <col min="2" max="2" width="4.5" style="40" bestFit="1" customWidth="1"/>
    <col min="3" max="3" width="10.5" style="40" bestFit="1" customWidth="1"/>
    <col min="4" max="4" width="4.5" style="41" bestFit="1" customWidth="1"/>
    <col min="5" max="5" width="22.5" style="40" bestFit="1" customWidth="1"/>
    <col min="6" max="6" width="8.5" style="40" bestFit="1" customWidth="1"/>
    <col min="7" max="7" width="2.25" style="40" customWidth="1"/>
    <col min="8" max="8" width="19" style="40" bestFit="1" customWidth="1"/>
    <col min="9" max="9" width="4.5" style="40" bestFit="1" customWidth="1"/>
    <col min="10" max="10" width="10.5" style="40" bestFit="1" customWidth="1"/>
    <col min="11" max="11" width="4.5" style="40" bestFit="1" customWidth="1"/>
    <col min="12" max="12" width="20.375" style="40" bestFit="1" customWidth="1"/>
    <col min="13" max="13" width="8.5" style="40" bestFit="1" customWidth="1"/>
    <col min="14" max="249" width="9" style="40"/>
    <col min="250" max="250" width="19.25" style="40" bestFit="1" customWidth="1"/>
    <col min="251" max="253" width="9" style="40"/>
    <col min="254" max="254" width="20.625" style="40" bestFit="1" customWidth="1"/>
    <col min="255" max="255" width="9" style="40"/>
    <col min="256" max="256" width="2.25" style="40" customWidth="1"/>
    <col min="257" max="257" width="17.375" style="40" customWidth="1"/>
    <col min="258" max="260" width="9" style="40"/>
    <col min="261" max="261" width="20.625" style="40" bestFit="1" customWidth="1"/>
    <col min="262" max="505" width="9" style="40"/>
    <col min="506" max="506" width="19.25" style="40" bestFit="1" customWidth="1"/>
    <col min="507" max="509" width="9" style="40"/>
    <col min="510" max="510" width="20.625" style="40" bestFit="1" customWidth="1"/>
    <col min="511" max="511" width="9" style="40"/>
    <col min="512" max="512" width="2.25" style="40" customWidth="1"/>
    <col min="513" max="513" width="17.375" style="40" customWidth="1"/>
    <col min="514" max="516" width="9" style="40"/>
    <col min="517" max="517" width="20.625" style="40" bestFit="1" customWidth="1"/>
    <col min="518" max="761" width="9" style="40"/>
    <col min="762" max="762" width="19.25" style="40" bestFit="1" customWidth="1"/>
    <col min="763" max="765" width="9" style="40"/>
    <col min="766" max="766" width="20.625" style="40" bestFit="1" customWidth="1"/>
    <col min="767" max="767" width="9" style="40"/>
    <col min="768" max="768" width="2.25" style="40" customWidth="1"/>
    <col min="769" max="769" width="17.375" style="40" customWidth="1"/>
    <col min="770" max="772" width="9" style="40"/>
    <col min="773" max="773" width="20.625" style="40" bestFit="1" customWidth="1"/>
    <col min="774" max="1017" width="9" style="40"/>
    <col min="1018" max="1018" width="19.25" style="40" bestFit="1" customWidth="1"/>
    <col min="1019" max="1021" width="9" style="40"/>
    <col min="1022" max="1022" width="20.625" style="40" bestFit="1" customWidth="1"/>
    <col min="1023" max="1023" width="9" style="40"/>
    <col min="1024" max="1024" width="2.25" style="40" customWidth="1"/>
    <col min="1025" max="1025" width="17.375" style="40" customWidth="1"/>
    <col min="1026" max="1028" width="9" style="40"/>
    <col min="1029" max="1029" width="20.625" style="40" bestFit="1" customWidth="1"/>
    <col min="1030" max="1273" width="9" style="40"/>
    <col min="1274" max="1274" width="19.25" style="40" bestFit="1" customWidth="1"/>
    <col min="1275" max="1277" width="9" style="40"/>
    <col min="1278" max="1278" width="20.625" style="40" bestFit="1" customWidth="1"/>
    <col min="1279" max="1279" width="9" style="40"/>
    <col min="1280" max="1280" width="2.25" style="40" customWidth="1"/>
    <col min="1281" max="1281" width="17.375" style="40" customWidth="1"/>
    <col min="1282" max="1284" width="9" style="40"/>
    <col min="1285" max="1285" width="20.625" style="40" bestFit="1" customWidth="1"/>
    <col min="1286" max="1529" width="9" style="40"/>
    <col min="1530" max="1530" width="19.25" style="40" bestFit="1" customWidth="1"/>
    <col min="1531" max="1533" width="9" style="40"/>
    <col min="1534" max="1534" width="20.625" style="40" bestFit="1" customWidth="1"/>
    <col min="1535" max="1535" width="9" style="40"/>
    <col min="1536" max="1536" width="2.25" style="40" customWidth="1"/>
    <col min="1537" max="1537" width="17.375" style="40" customWidth="1"/>
    <col min="1538" max="1540" width="9" style="40"/>
    <col min="1541" max="1541" width="20.625" style="40" bestFit="1" customWidth="1"/>
    <col min="1542" max="1785" width="9" style="40"/>
    <col min="1786" max="1786" width="19.25" style="40" bestFit="1" customWidth="1"/>
    <col min="1787" max="1789" width="9" style="40"/>
    <col min="1790" max="1790" width="20.625" style="40" bestFit="1" customWidth="1"/>
    <col min="1791" max="1791" width="9" style="40"/>
    <col min="1792" max="1792" width="2.25" style="40" customWidth="1"/>
    <col min="1793" max="1793" width="17.375" style="40" customWidth="1"/>
    <col min="1794" max="1796" width="9" style="40"/>
    <col min="1797" max="1797" width="20.625" style="40" bestFit="1" customWidth="1"/>
    <col min="1798" max="2041" width="9" style="40"/>
    <col min="2042" max="2042" width="19.25" style="40" bestFit="1" customWidth="1"/>
    <col min="2043" max="2045" width="9" style="40"/>
    <col min="2046" max="2046" width="20.625" style="40" bestFit="1" customWidth="1"/>
    <col min="2047" max="2047" width="9" style="40"/>
    <col min="2048" max="2048" width="2.25" style="40" customWidth="1"/>
    <col min="2049" max="2049" width="17.375" style="40" customWidth="1"/>
    <col min="2050" max="2052" width="9" style="40"/>
    <col min="2053" max="2053" width="20.625" style="40" bestFit="1" customWidth="1"/>
    <col min="2054" max="2297" width="9" style="40"/>
    <col min="2298" max="2298" width="19.25" style="40" bestFit="1" customWidth="1"/>
    <col min="2299" max="2301" width="9" style="40"/>
    <col min="2302" max="2302" width="20.625" style="40" bestFit="1" customWidth="1"/>
    <col min="2303" max="2303" width="9" style="40"/>
    <col min="2304" max="2304" width="2.25" style="40" customWidth="1"/>
    <col min="2305" max="2305" width="17.375" style="40" customWidth="1"/>
    <col min="2306" max="2308" width="9" style="40"/>
    <col min="2309" max="2309" width="20.625" style="40" bestFit="1" customWidth="1"/>
    <col min="2310" max="2553" width="9" style="40"/>
    <col min="2554" max="2554" width="19.25" style="40" bestFit="1" customWidth="1"/>
    <col min="2555" max="2557" width="9" style="40"/>
    <col min="2558" max="2558" width="20.625" style="40" bestFit="1" customWidth="1"/>
    <col min="2559" max="2559" width="9" style="40"/>
    <col min="2560" max="2560" width="2.25" style="40" customWidth="1"/>
    <col min="2561" max="2561" width="17.375" style="40" customWidth="1"/>
    <col min="2562" max="2564" width="9" style="40"/>
    <col min="2565" max="2565" width="20.625" style="40" bestFit="1" customWidth="1"/>
    <col min="2566" max="2809" width="9" style="40"/>
    <col min="2810" max="2810" width="19.25" style="40" bestFit="1" customWidth="1"/>
    <col min="2811" max="2813" width="9" style="40"/>
    <col min="2814" max="2814" width="20.625" style="40" bestFit="1" customWidth="1"/>
    <col min="2815" max="2815" width="9" style="40"/>
    <col min="2816" max="2816" width="2.25" style="40" customWidth="1"/>
    <col min="2817" max="2817" width="17.375" style="40" customWidth="1"/>
    <col min="2818" max="2820" width="9" style="40"/>
    <col min="2821" max="2821" width="20.625" style="40" bestFit="1" customWidth="1"/>
    <col min="2822" max="3065" width="9" style="40"/>
    <col min="3066" max="3066" width="19.25" style="40" bestFit="1" customWidth="1"/>
    <col min="3067" max="3069" width="9" style="40"/>
    <col min="3070" max="3070" width="20.625" style="40" bestFit="1" customWidth="1"/>
    <col min="3071" max="3071" width="9" style="40"/>
    <col min="3072" max="3072" width="2.25" style="40" customWidth="1"/>
    <col min="3073" max="3073" width="17.375" style="40" customWidth="1"/>
    <col min="3074" max="3076" width="9" style="40"/>
    <col min="3077" max="3077" width="20.625" style="40" bestFit="1" customWidth="1"/>
    <col min="3078" max="3321" width="9" style="40"/>
    <col min="3322" max="3322" width="19.25" style="40" bestFit="1" customWidth="1"/>
    <col min="3323" max="3325" width="9" style="40"/>
    <col min="3326" max="3326" width="20.625" style="40" bestFit="1" customWidth="1"/>
    <col min="3327" max="3327" width="9" style="40"/>
    <col min="3328" max="3328" width="2.25" style="40" customWidth="1"/>
    <col min="3329" max="3329" width="17.375" style="40" customWidth="1"/>
    <col min="3330" max="3332" width="9" style="40"/>
    <col min="3333" max="3333" width="20.625" style="40" bestFit="1" customWidth="1"/>
    <col min="3334" max="3577" width="9" style="40"/>
    <col min="3578" max="3578" width="19.25" style="40" bestFit="1" customWidth="1"/>
    <col min="3579" max="3581" width="9" style="40"/>
    <col min="3582" max="3582" width="20.625" style="40" bestFit="1" customWidth="1"/>
    <col min="3583" max="3583" width="9" style="40"/>
    <col min="3584" max="3584" width="2.25" style="40" customWidth="1"/>
    <col min="3585" max="3585" width="17.375" style="40" customWidth="1"/>
    <col min="3586" max="3588" width="9" style="40"/>
    <col min="3589" max="3589" width="20.625" style="40" bestFit="1" customWidth="1"/>
    <col min="3590" max="3833" width="9" style="40"/>
    <col min="3834" max="3834" width="19.25" style="40" bestFit="1" customWidth="1"/>
    <col min="3835" max="3837" width="9" style="40"/>
    <col min="3838" max="3838" width="20.625" style="40" bestFit="1" customWidth="1"/>
    <col min="3839" max="3839" width="9" style="40"/>
    <col min="3840" max="3840" width="2.25" style="40" customWidth="1"/>
    <col min="3841" max="3841" width="17.375" style="40" customWidth="1"/>
    <col min="3842" max="3844" width="9" style="40"/>
    <col min="3845" max="3845" width="20.625" style="40" bestFit="1" customWidth="1"/>
    <col min="3846" max="4089" width="9" style="40"/>
    <col min="4090" max="4090" width="19.25" style="40" bestFit="1" customWidth="1"/>
    <col min="4091" max="4093" width="9" style="40"/>
    <col min="4094" max="4094" width="20.625" style="40" bestFit="1" customWidth="1"/>
    <col min="4095" max="4095" width="9" style="40"/>
    <col min="4096" max="4096" width="2.25" style="40" customWidth="1"/>
    <col min="4097" max="4097" width="17.375" style="40" customWidth="1"/>
    <col min="4098" max="4100" width="9" style="40"/>
    <col min="4101" max="4101" width="20.625" style="40" bestFit="1" customWidth="1"/>
    <col min="4102" max="4345" width="9" style="40"/>
    <col min="4346" max="4346" width="19.25" style="40" bestFit="1" customWidth="1"/>
    <col min="4347" max="4349" width="9" style="40"/>
    <col min="4350" max="4350" width="20.625" style="40" bestFit="1" customWidth="1"/>
    <col min="4351" max="4351" width="9" style="40"/>
    <col min="4352" max="4352" width="2.25" style="40" customWidth="1"/>
    <col min="4353" max="4353" width="17.375" style="40" customWidth="1"/>
    <col min="4354" max="4356" width="9" style="40"/>
    <col min="4357" max="4357" width="20.625" style="40" bestFit="1" customWidth="1"/>
    <col min="4358" max="4601" width="9" style="40"/>
    <col min="4602" max="4602" width="19.25" style="40" bestFit="1" customWidth="1"/>
    <col min="4603" max="4605" width="9" style="40"/>
    <col min="4606" max="4606" width="20.625" style="40" bestFit="1" customWidth="1"/>
    <col min="4607" max="4607" width="9" style="40"/>
    <col min="4608" max="4608" width="2.25" style="40" customWidth="1"/>
    <col min="4609" max="4609" width="17.375" style="40" customWidth="1"/>
    <col min="4610" max="4612" width="9" style="40"/>
    <col min="4613" max="4613" width="20.625" style="40" bestFit="1" customWidth="1"/>
    <col min="4614" max="4857" width="9" style="40"/>
    <col min="4858" max="4858" width="19.25" style="40" bestFit="1" customWidth="1"/>
    <col min="4859" max="4861" width="9" style="40"/>
    <col min="4862" max="4862" width="20.625" style="40" bestFit="1" customWidth="1"/>
    <col min="4863" max="4863" width="9" style="40"/>
    <col min="4864" max="4864" width="2.25" style="40" customWidth="1"/>
    <col min="4865" max="4865" width="17.375" style="40" customWidth="1"/>
    <col min="4866" max="4868" width="9" style="40"/>
    <col min="4869" max="4869" width="20.625" style="40" bestFit="1" customWidth="1"/>
    <col min="4870" max="5113" width="9" style="40"/>
    <col min="5114" max="5114" width="19.25" style="40" bestFit="1" customWidth="1"/>
    <col min="5115" max="5117" width="9" style="40"/>
    <col min="5118" max="5118" width="20.625" style="40" bestFit="1" customWidth="1"/>
    <col min="5119" max="5119" width="9" style="40"/>
    <col min="5120" max="5120" width="2.25" style="40" customWidth="1"/>
    <col min="5121" max="5121" width="17.375" style="40" customWidth="1"/>
    <col min="5122" max="5124" width="9" style="40"/>
    <col min="5125" max="5125" width="20.625" style="40" bestFit="1" customWidth="1"/>
    <col min="5126" max="5369" width="9" style="40"/>
    <col min="5370" max="5370" width="19.25" style="40" bestFit="1" customWidth="1"/>
    <col min="5371" max="5373" width="9" style="40"/>
    <col min="5374" max="5374" width="20.625" style="40" bestFit="1" customWidth="1"/>
    <col min="5375" max="5375" width="9" style="40"/>
    <col min="5376" max="5376" width="2.25" style="40" customWidth="1"/>
    <col min="5377" max="5377" width="17.375" style="40" customWidth="1"/>
    <col min="5378" max="5380" width="9" style="40"/>
    <col min="5381" max="5381" width="20.625" style="40" bestFit="1" customWidth="1"/>
    <col min="5382" max="5625" width="9" style="40"/>
    <col min="5626" max="5626" width="19.25" style="40" bestFit="1" customWidth="1"/>
    <col min="5627" max="5629" width="9" style="40"/>
    <col min="5630" max="5630" width="20.625" style="40" bestFit="1" customWidth="1"/>
    <col min="5631" max="5631" width="9" style="40"/>
    <col min="5632" max="5632" width="2.25" style="40" customWidth="1"/>
    <col min="5633" max="5633" width="17.375" style="40" customWidth="1"/>
    <col min="5634" max="5636" width="9" style="40"/>
    <col min="5637" max="5637" width="20.625" style="40" bestFit="1" customWidth="1"/>
    <col min="5638" max="5881" width="9" style="40"/>
    <col min="5882" max="5882" width="19.25" style="40" bestFit="1" customWidth="1"/>
    <col min="5883" max="5885" width="9" style="40"/>
    <col min="5886" max="5886" width="20.625" style="40" bestFit="1" customWidth="1"/>
    <col min="5887" max="5887" width="9" style="40"/>
    <col min="5888" max="5888" width="2.25" style="40" customWidth="1"/>
    <col min="5889" max="5889" width="17.375" style="40" customWidth="1"/>
    <col min="5890" max="5892" width="9" style="40"/>
    <col min="5893" max="5893" width="20.625" style="40" bestFit="1" customWidth="1"/>
    <col min="5894" max="6137" width="9" style="40"/>
    <col min="6138" max="6138" width="19.25" style="40" bestFit="1" customWidth="1"/>
    <col min="6139" max="6141" width="9" style="40"/>
    <col min="6142" max="6142" width="20.625" style="40" bestFit="1" customWidth="1"/>
    <col min="6143" max="6143" width="9" style="40"/>
    <col min="6144" max="6144" width="2.25" style="40" customWidth="1"/>
    <col min="6145" max="6145" width="17.375" style="40" customWidth="1"/>
    <col min="6146" max="6148" width="9" style="40"/>
    <col min="6149" max="6149" width="20.625" style="40" bestFit="1" customWidth="1"/>
    <col min="6150" max="6393" width="9" style="40"/>
    <col min="6394" max="6394" width="19.25" style="40" bestFit="1" customWidth="1"/>
    <col min="6395" max="6397" width="9" style="40"/>
    <col min="6398" max="6398" width="20.625" style="40" bestFit="1" customWidth="1"/>
    <col min="6399" max="6399" width="9" style="40"/>
    <col min="6400" max="6400" width="2.25" style="40" customWidth="1"/>
    <col min="6401" max="6401" width="17.375" style="40" customWidth="1"/>
    <col min="6402" max="6404" width="9" style="40"/>
    <col min="6405" max="6405" width="20.625" style="40" bestFit="1" customWidth="1"/>
    <col min="6406" max="6649" width="9" style="40"/>
    <col min="6650" max="6650" width="19.25" style="40" bestFit="1" customWidth="1"/>
    <col min="6651" max="6653" width="9" style="40"/>
    <col min="6654" max="6654" width="20.625" style="40" bestFit="1" customWidth="1"/>
    <col min="6655" max="6655" width="9" style="40"/>
    <col min="6656" max="6656" width="2.25" style="40" customWidth="1"/>
    <col min="6657" max="6657" width="17.375" style="40" customWidth="1"/>
    <col min="6658" max="6660" width="9" style="40"/>
    <col min="6661" max="6661" width="20.625" style="40" bestFit="1" customWidth="1"/>
    <col min="6662" max="6905" width="9" style="40"/>
    <col min="6906" max="6906" width="19.25" style="40" bestFit="1" customWidth="1"/>
    <col min="6907" max="6909" width="9" style="40"/>
    <col min="6910" max="6910" width="20.625" style="40" bestFit="1" customWidth="1"/>
    <col min="6911" max="6911" width="9" style="40"/>
    <col min="6912" max="6912" width="2.25" style="40" customWidth="1"/>
    <col min="6913" max="6913" width="17.375" style="40" customWidth="1"/>
    <col min="6914" max="6916" width="9" style="40"/>
    <col min="6917" max="6917" width="20.625" style="40" bestFit="1" customWidth="1"/>
    <col min="6918" max="7161" width="9" style="40"/>
    <col min="7162" max="7162" width="19.25" style="40" bestFit="1" customWidth="1"/>
    <col min="7163" max="7165" width="9" style="40"/>
    <col min="7166" max="7166" width="20.625" style="40" bestFit="1" customWidth="1"/>
    <col min="7167" max="7167" width="9" style="40"/>
    <col min="7168" max="7168" width="2.25" style="40" customWidth="1"/>
    <col min="7169" max="7169" width="17.375" style="40" customWidth="1"/>
    <col min="7170" max="7172" width="9" style="40"/>
    <col min="7173" max="7173" width="20.625" style="40" bestFit="1" customWidth="1"/>
    <col min="7174" max="7417" width="9" style="40"/>
    <col min="7418" max="7418" width="19.25" style="40" bestFit="1" customWidth="1"/>
    <col min="7419" max="7421" width="9" style="40"/>
    <col min="7422" max="7422" width="20.625" style="40" bestFit="1" customWidth="1"/>
    <col min="7423" max="7423" width="9" style="40"/>
    <col min="7424" max="7424" width="2.25" style="40" customWidth="1"/>
    <col min="7425" max="7425" width="17.375" style="40" customWidth="1"/>
    <col min="7426" max="7428" width="9" style="40"/>
    <col min="7429" max="7429" width="20.625" style="40" bestFit="1" customWidth="1"/>
    <col min="7430" max="7673" width="9" style="40"/>
    <col min="7674" max="7674" width="19.25" style="40" bestFit="1" customWidth="1"/>
    <col min="7675" max="7677" width="9" style="40"/>
    <col min="7678" max="7678" width="20.625" style="40" bestFit="1" customWidth="1"/>
    <col min="7679" max="7679" width="9" style="40"/>
    <col min="7680" max="7680" width="2.25" style="40" customWidth="1"/>
    <col min="7681" max="7681" width="17.375" style="40" customWidth="1"/>
    <col min="7682" max="7684" width="9" style="40"/>
    <col min="7685" max="7685" width="20.625" style="40" bestFit="1" customWidth="1"/>
    <col min="7686" max="7929" width="9" style="40"/>
    <col min="7930" max="7930" width="19.25" style="40" bestFit="1" customWidth="1"/>
    <col min="7931" max="7933" width="9" style="40"/>
    <col min="7934" max="7934" width="20.625" style="40" bestFit="1" customWidth="1"/>
    <col min="7935" max="7935" width="9" style="40"/>
    <col min="7936" max="7936" width="2.25" style="40" customWidth="1"/>
    <col min="7937" max="7937" width="17.375" style="40" customWidth="1"/>
    <col min="7938" max="7940" width="9" style="40"/>
    <col min="7941" max="7941" width="20.625" style="40" bestFit="1" customWidth="1"/>
    <col min="7942" max="8185" width="9" style="40"/>
    <col min="8186" max="8186" width="19.25" style="40" bestFit="1" customWidth="1"/>
    <col min="8187" max="8189" width="9" style="40"/>
    <col min="8190" max="8190" width="20.625" style="40" bestFit="1" customWidth="1"/>
    <col min="8191" max="8191" width="9" style="40"/>
    <col min="8192" max="8192" width="2.25" style="40" customWidth="1"/>
    <col min="8193" max="8193" width="17.375" style="40" customWidth="1"/>
    <col min="8194" max="8196" width="9" style="40"/>
    <col min="8197" max="8197" width="20.625" style="40" bestFit="1" customWidth="1"/>
    <col min="8198" max="8441" width="9" style="40"/>
    <col min="8442" max="8442" width="19.25" style="40" bestFit="1" customWidth="1"/>
    <col min="8443" max="8445" width="9" style="40"/>
    <col min="8446" max="8446" width="20.625" style="40" bestFit="1" customWidth="1"/>
    <col min="8447" max="8447" width="9" style="40"/>
    <col min="8448" max="8448" width="2.25" style="40" customWidth="1"/>
    <col min="8449" max="8449" width="17.375" style="40" customWidth="1"/>
    <col min="8450" max="8452" width="9" style="40"/>
    <col min="8453" max="8453" width="20.625" style="40" bestFit="1" customWidth="1"/>
    <col min="8454" max="8697" width="9" style="40"/>
    <col min="8698" max="8698" width="19.25" style="40" bestFit="1" customWidth="1"/>
    <col min="8699" max="8701" width="9" style="40"/>
    <col min="8702" max="8702" width="20.625" style="40" bestFit="1" customWidth="1"/>
    <col min="8703" max="8703" width="9" style="40"/>
    <col min="8704" max="8704" width="2.25" style="40" customWidth="1"/>
    <col min="8705" max="8705" width="17.375" style="40" customWidth="1"/>
    <col min="8706" max="8708" width="9" style="40"/>
    <col min="8709" max="8709" width="20.625" style="40" bestFit="1" customWidth="1"/>
    <col min="8710" max="8953" width="9" style="40"/>
    <col min="8954" max="8954" width="19.25" style="40" bestFit="1" customWidth="1"/>
    <col min="8955" max="8957" width="9" style="40"/>
    <col min="8958" max="8958" width="20.625" style="40" bestFit="1" customWidth="1"/>
    <col min="8959" max="8959" width="9" style="40"/>
    <col min="8960" max="8960" width="2.25" style="40" customWidth="1"/>
    <col min="8961" max="8961" width="17.375" style="40" customWidth="1"/>
    <col min="8962" max="8964" width="9" style="40"/>
    <col min="8965" max="8965" width="20.625" style="40" bestFit="1" customWidth="1"/>
    <col min="8966" max="9209" width="9" style="40"/>
    <col min="9210" max="9210" width="19.25" style="40" bestFit="1" customWidth="1"/>
    <col min="9211" max="9213" width="9" style="40"/>
    <col min="9214" max="9214" width="20.625" style="40" bestFit="1" customWidth="1"/>
    <col min="9215" max="9215" width="9" style="40"/>
    <col min="9216" max="9216" width="2.25" style="40" customWidth="1"/>
    <col min="9217" max="9217" width="17.375" style="40" customWidth="1"/>
    <col min="9218" max="9220" width="9" style="40"/>
    <col min="9221" max="9221" width="20.625" style="40" bestFit="1" customWidth="1"/>
    <col min="9222" max="9465" width="9" style="40"/>
    <col min="9466" max="9466" width="19.25" style="40" bestFit="1" customWidth="1"/>
    <col min="9467" max="9469" width="9" style="40"/>
    <col min="9470" max="9470" width="20.625" style="40" bestFit="1" customWidth="1"/>
    <col min="9471" max="9471" width="9" style="40"/>
    <col min="9472" max="9472" width="2.25" style="40" customWidth="1"/>
    <col min="9473" max="9473" width="17.375" style="40" customWidth="1"/>
    <col min="9474" max="9476" width="9" style="40"/>
    <col min="9477" max="9477" width="20.625" style="40" bestFit="1" customWidth="1"/>
    <col min="9478" max="9721" width="9" style="40"/>
    <col min="9722" max="9722" width="19.25" style="40" bestFit="1" customWidth="1"/>
    <col min="9723" max="9725" width="9" style="40"/>
    <col min="9726" max="9726" width="20.625" style="40" bestFit="1" customWidth="1"/>
    <col min="9727" max="9727" width="9" style="40"/>
    <col min="9728" max="9728" width="2.25" style="40" customWidth="1"/>
    <col min="9729" max="9729" width="17.375" style="40" customWidth="1"/>
    <col min="9730" max="9732" width="9" style="40"/>
    <col min="9733" max="9733" width="20.625" style="40" bestFit="1" customWidth="1"/>
    <col min="9734" max="9977" width="9" style="40"/>
    <col min="9978" max="9978" width="19.25" style="40" bestFit="1" customWidth="1"/>
    <col min="9979" max="9981" width="9" style="40"/>
    <col min="9982" max="9982" width="20.625" style="40" bestFit="1" customWidth="1"/>
    <col min="9983" max="9983" width="9" style="40"/>
    <col min="9984" max="9984" width="2.25" style="40" customWidth="1"/>
    <col min="9985" max="9985" width="17.375" style="40" customWidth="1"/>
    <col min="9986" max="9988" width="9" style="40"/>
    <col min="9989" max="9989" width="20.625" style="40" bestFit="1" customWidth="1"/>
    <col min="9990" max="10233" width="9" style="40"/>
    <col min="10234" max="10234" width="19.25" style="40" bestFit="1" customWidth="1"/>
    <col min="10235" max="10237" width="9" style="40"/>
    <col min="10238" max="10238" width="20.625" style="40" bestFit="1" customWidth="1"/>
    <col min="10239" max="10239" width="9" style="40"/>
    <col min="10240" max="10240" width="2.25" style="40" customWidth="1"/>
    <col min="10241" max="10241" width="17.375" style="40" customWidth="1"/>
    <col min="10242" max="10244" width="9" style="40"/>
    <col min="10245" max="10245" width="20.625" style="40" bestFit="1" customWidth="1"/>
    <col min="10246" max="10489" width="9" style="40"/>
    <col min="10490" max="10490" width="19.25" style="40" bestFit="1" customWidth="1"/>
    <col min="10491" max="10493" width="9" style="40"/>
    <col min="10494" max="10494" width="20.625" style="40" bestFit="1" customWidth="1"/>
    <col min="10495" max="10495" width="9" style="40"/>
    <col min="10496" max="10496" width="2.25" style="40" customWidth="1"/>
    <col min="10497" max="10497" width="17.375" style="40" customWidth="1"/>
    <col min="10498" max="10500" width="9" style="40"/>
    <col min="10501" max="10501" width="20.625" style="40" bestFit="1" customWidth="1"/>
    <col min="10502" max="10745" width="9" style="40"/>
    <col min="10746" max="10746" width="19.25" style="40" bestFit="1" customWidth="1"/>
    <col min="10747" max="10749" width="9" style="40"/>
    <col min="10750" max="10750" width="20.625" style="40" bestFit="1" customWidth="1"/>
    <col min="10751" max="10751" width="9" style="40"/>
    <col min="10752" max="10752" width="2.25" style="40" customWidth="1"/>
    <col min="10753" max="10753" width="17.375" style="40" customWidth="1"/>
    <col min="10754" max="10756" width="9" style="40"/>
    <col min="10757" max="10757" width="20.625" style="40" bestFit="1" customWidth="1"/>
    <col min="10758" max="11001" width="9" style="40"/>
    <col min="11002" max="11002" width="19.25" style="40" bestFit="1" customWidth="1"/>
    <col min="11003" max="11005" width="9" style="40"/>
    <col min="11006" max="11006" width="20.625" style="40" bestFit="1" customWidth="1"/>
    <col min="11007" max="11007" width="9" style="40"/>
    <col min="11008" max="11008" width="2.25" style="40" customWidth="1"/>
    <col min="11009" max="11009" width="17.375" style="40" customWidth="1"/>
    <col min="11010" max="11012" width="9" style="40"/>
    <col min="11013" max="11013" width="20.625" style="40" bestFit="1" customWidth="1"/>
    <col min="11014" max="11257" width="9" style="40"/>
    <col min="11258" max="11258" width="19.25" style="40" bestFit="1" customWidth="1"/>
    <col min="11259" max="11261" width="9" style="40"/>
    <col min="11262" max="11262" width="20.625" style="40" bestFit="1" customWidth="1"/>
    <col min="11263" max="11263" width="9" style="40"/>
    <col min="11264" max="11264" width="2.25" style="40" customWidth="1"/>
    <col min="11265" max="11265" width="17.375" style="40" customWidth="1"/>
    <col min="11266" max="11268" width="9" style="40"/>
    <col min="11269" max="11269" width="20.625" style="40" bestFit="1" customWidth="1"/>
    <col min="11270" max="11513" width="9" style="40"/>
    <col min="11514" max="11514" width="19.25" style="40" bestFit="1" customWidth="1"/>
    <col min="11515" max="11517" width="9" style="40"/>
    <col min="11518" max="11518" width="20.625" style="40" bestFit="1" customWidth="1"/>
    <col min="11519" max="11519" width="9" style="40"/>
    <col min="11520" max="11520" width="2.25" style="40" customWidth="1"/>
    <col min="11521" max="11521" width="17.375" style="40" customWidth="1"/>
    <col min="11522" max="11524" width="9" style="40"/>
    <col min="11525" max="11525" width="20.625" style="40" bestFit="1" customWidth="1"/>
    <col min="11526" max="11769" width="9" style="40"/>
    <col min="11770" max="11770" width="19.25" style="40" bestFit="1" customWidth="1"/>
    <col min="11771" max="11773" width="9" style="40"/>
    <col min="11774" max="11774" width="20.625" style="40" bestFit="1" customWidth="1"/>
    <col min="11775" max="11775" width="9" style="40"/>
    <col min="11776" max="11776" width="2.25" style="40" customWidth="1"/>
    <col min="11777" max="11777" width="17.375" style="40" customWidth="1"/>
    <col min="11778" max="11780" width="9" style="40"/>
    <col min="11781" max="11781" width="20.625" style="40" bestFit="1" customWidth="1"/>
    <col min="11782" max="12025" width="9" style="40"/>
    <col min="12026" max="12026" width="19.25" style="40" bestFit="1" customWidth="1"/>
    <col min="12027" max="12029" width="9" style="40"/>
    <col min="12030" max="12030" width="20.625" style="40" bestFit="1" customWidth="1"/>
    <col min="12031" max="12031" width="9" style="40"/>
    <col min="12032" max="12032" width="2.25" style="40" customWidth="1"/>
    <col min="12033" max="12033" width="17.375" style="40" customWidth="1"/>
    <col min="12034" max="12036" width="9" style="40"/>
    <col min="12037" max="12037" width="20.625" style="40" bestFit="1" customWidth="1"/>
    <col min="12038" max="12281" width="9" style="40"/>
    <col min="12282" max="12282" width="19.25" style="40" bestFit="1" customWidth="1"/>
    <col min="12283" max="12285" width="9" style="40"/>
    <col min="12286" max="12286" width="20.625" style="40" bestFit="1" customWidth="1"/>
    <col min="12287" max="12287" width="9" style="40"/>
    <col min="12288" max="12288" width="2.25" style="40" customWidth="1"/>
    <col min="12289" max="12289" width="17.375" style="40" customWidth="1"/>
    <col min="12290" max="12292" width="9" style="40"/>
    <col min="12293" max="12293" width="20.625" style="40" bestFit="1" customWidth="1"/>
    <col min="12294" max="12537" width="9" style="40"/>
    <col min="12538" max="12538" width="19.25" style="40" bestFit="1" customWidth="1"/>
    <col min="12539" max="12541" width="9" style="40"/>
    <col min="12542" max="12542" width="20.625" style="40" bestFit="1" customWidth="1"/>
    <col min="12543" max="12543" width="9" style="40"/>
    <col min="12544" max="12544" width="2.25" style="40" customWidth="1"/>
    <col min="12545" max="12545" width="17.375" style="40" customWidth="1"/>
    <col min="12546" max="12548" width="9" style="40"/>
    <col min="12549" max="12549" width="20.625" style="40" bestFit="1" customWidth="1"/>
    <col min="12550" max="12793" width="9" style="40"/>
    <col min="12794" max="12794" width="19.25" style="40" bestFit="1" customWidth="1"/>
    <col min="12795" max="12797" width="9" style="40"/>
    <col min="12798" max="12798" width="20.625" style="40" bestFit="1" customWidth="1"/>
    <col min="12799" max="12799" width="9" style="40"/>
    <col min="12800" max="12800" width="2.25" style="40" customWidth="1"/>
    <col min="12801" max="12801" width="17.375" style="40" customWidth="1"/>
    <col min="12802" max="12804" width="9" style="40"/>
    <col min="12805" max="12805" width="20.625" style="40" bestFit="1" customWidth="1"/>
    <col min="12806" max="13049" width="9" style="40"/>
    <col min="13050" max="13050" width="19.25" style="40" bestFit="1" customWidth="1"/>
    <col min="13051" max="13053" width="9" style="40"/>
    <col min="13054" max="13054" width="20.625" style="40" bestFit="1" customWidth="1"/>
    <col min="13055" max="13055" width="9" style="40"/>
    <col min="13056" max="13056" width="2.25" style="40" customWidth="1"/>
    <col min="13057" max="13057" width="17.375" style="40" customWidth="1"/>
    <col min="13058" max="13060" width="9" style="40"/>
    <col min="13061" max="13061" width="20.625" style="40" bestFit="1" customWidth="1"/>
    <col min="13062" max="13305" width="9" style="40"/>
    <col min="13306" max="13306" width="19.25" style="40" bestFit="1" customWidth="1"/>
    <col min="13307" max="13309" width="9" style="40"/>
    <col min="13310" max="13310" width="20.625" style="40" bestFit="1" customWidth="1"/>
    <col min="13311" max="13311" width="9" style="40"/>
    <col min="13312" max="13312" width="2.25" style="40" customWidth="1"/>
    <col min="13313" max="13313" width="17.375" style="40" customWidth="1"/>
    <col min="13314" max="13316" width="9" style="40"/>
    <col min="13317" max="13317" width="20.625" style="40" bestFit="1" customWidth="1"/>
    <col min="13318" max="13561" width="9" style="40"/>
    <col min="13562" max="13562" width="19.25" style="40" bestFit="1" customWidth="1"/>
    <col min="13563" max="13565" width="9" style="40"/>
    <col min="13566" max="13566" width="20.625" style="40" bestFit="1" customWidth="1"/>
    <col min="13567" max="13567" width="9" style="40"/>
    <col min="13568" max="13568" width="2.25" style="40" customWidth="1"/>
    <col min="13569" max="13569" width="17.375" style="40" customWidth="1"/>
    <col min="13570" max="13572" width="9" style="40"/>
    <col min="13573" max="13573" width="20.625" style="40" bestFit="1" customWidth="1"/>
    <col min="13574" max="13817" width="9" style="40"/>
    <col min="13818" max="13818" width="19.25" style="40" bestFit="1" customWidth="1"/>
    <col min="13819" max="13821" width="9" style="40"/>
    <col min="13822" max="13822" width="20.625" style="40" bestFit="1" customWidth="1"/>
    <col min="13823" max="13823" width="9" style="40"/>
    <col min="13824" max="13824" width="2.25" style="40" customWidth="1"/>
    <col min="13825" max="13825" width="17.375" style="40" customWidth="1"/>
    <col min="13826" max="13828" width="9" style="40"/>
    <col min="13829" max="13829" width="20.625" style="40" bestFit="1" customWidth="1"/>
    <col min="13830" max="14073" width="9" style="40"/>
    <col min="14074" max="14074" width="19.25" style="40" bestFit="1" customWidth="1"/>
    <col min="14075" max="14077" width="9" style="40"/>
    <col min="14078" max="14078" width="20.625" style="40" bestFit="1" customWidth="1"/>
    <col min="14079" max="14079" width="9" style="40"/>
    <col min="14080" max="14080" width="2.25" style="40" customWidth="1"/>
    <col min="14081" max="14081" width="17.375" style="40" customWidth="1"/>
    <col min="14082" max="14084" width="9" style="40"/>
    <col min="14085" max="14085" width="20.625" style="40" bestFit="1" customWidth="1"/>
    <col min="14086" max="14329" width="9" style="40"/>
    <col min="14330" max="14330" width="19.25" style="40" bestFit="1" customWidth="1"/>
    <col min="14331" max="14333" width="9" style="40"/>
    <col min="14334" max="14334" width="20.625" style="40" bestFit="1" customWidth="1"/>
    <col min="14335" max="14335" width="9" style="40"/>
    <col min="14336" max="14336" width="2.25" style="40" customWidth="1"/>
    <col min="14337" max="14337" width="17.375" style="40" customWidth="1"/>
    <col min="14338" max="14340" width="9" style="40"/>
    <col min="14341" max="14341" width="20.625" style="40" bestFit="1" customWidth="1"/>
    <col min="14342" max="14585" width="9" style="40"/>
    <col min="14586" max="14586" width="19.25" style="40" bestFit="1" customWidth="1"/>
    <col min="14587" max="14589" width="9" style="40"/>
    <col min="14590" max="14590" width="20.625" style="40" bestFit="1" customWidth="1"/>
    <col min="14591" max="14591" width="9" style="40"/>
    <col min="14592" max="14592" width="2.25" style="40" customWidth="1"/>
    <col min="14593" max="14593" width="17.375" style="40" customWidth="1"/>
    <col min="14594" max="14596" width="9" style="40"/>
    <col min="14597" max="14597" width="20.625" style="40" bestFit="1" customWidth="1"/>
    <col min="14598" max="14841" width="9" style="40"/>
    <col min="14842" max="14842" width="19.25" style="40" bestFit="1" customWidth="1"/>
    <col min="14843" max="14845" width="9" style="40"/>
    <col min="14846" max="14846" width="20.625" style="40" bestFit="1" customWidth="1"/>
    <col min="14847" max="14847" width="9" style="40"/>
    <col min="14848" max="14848" width="2.25" style="40" customWidth="1"/>
    <col min="14849" max="14849" width="17.375" style="40" customWidth="1"/>
    <col min="14850" max="14852" width="9" style="40"/>
    <col min="14853" max="14853" width="20.625" style="40" bestFit="1" customWidth="1"/>
    <col min="14854" max="15097" width="9" style="40"/>
    <col min="15098" max="15098" width="19.25" style="40" bestFit="1" customWidth="1"/>
    <col min="15099" max="15101" width="9" style="40"/>
    <col min="15102" max="15102" width="20.625" style="40" bestFit="1" customWidth="1"/>
    <col min="15103" max="15103" width="9" style="40"/>
    <col min="15104" max="15104" width="2.25" style="40" customWidth="1"/>
    <col min="15105" max="15105" width="17.375" style="40" customWidth="1"/>
    <col min="15106" max="15108" width="9" style="40"/>
    <col min="15109" max="15109" width="20.625" style="40" bestFit="1" customWidth="1"/>
    <col min="15110" max="15353" width="9" style="40"/>
    <col min="15354" max="15354" width="19.25" style="40" bestFit="1" customWidth="1"/>
    <col min="15355" max="15357" width="9" style="40"/>
    <col min="15358" max="15358" width="20.625" style="40" bestFit="1" customWidth="1"/>
    <col min="15359" max="15359" width="9" style="40"/>
    <col min="15360" max="15360" width="2.25" style="40" customWidth="1"/>
    <col min="15361" max="15361" width="17.375" style="40" customWidth="1"/>
    <col min="15362" max="15364" width="9" style="40"/>
    <col min="15365" max="15365" width="20.625" style="40" bestFit="1" customWidth="1"/>
    <col min="15366" max="15609" width="9" style="40"/>
    <col min="15610" max="15610" width="19.25" style="40" bestFit="1" customWidth="1"/>
    <col min="15611" max="15613" width="9" style="40"/>
    <col min="15614" max="15614" width="20.625" style="40" bestFit="1" customWidth="1"/>
    <col min="15615" max="15615" width="9" style="40"/>
    <col min="15616" max="15616" width="2.25" style="40" customWidth="1"/>
    <col min="15617" max="15617" width="17.375" style="40" customWidth="1"/>
    <col min="15618" max="15620" width="9" style="40"/>
    <col min="15621" max="15621" width="20.625" style="40" bestFit="1" customWidth="1"/>
    <col min="15622" max="15865" width="9" style="40"/>
    <col min="15866" max="15866" width="19.25" style="40" bestFit="1" customWidth="1"/>
    <col min="15867" max="15869" width="9" style="40"/>
    <col min="15870" max="15870" width="20.625" style="40" bestFit="1" customWidth="1"/>
    <col min="15871" max="15871" width="9" style="40"/>
    <col min="15872" max="15872" width="2.25" style="40" customWidth="1"/>
    <col min="15873" max="15873" width="17.375" style="40" customWidth="1"/>
    <col min="15874" max="15876" width="9" style="40"/>
    <col min="15877" max="15877" width="20.625" style="40" bestFit="1" customWidth="1"/>
    <col min="15878" max="16121" width="9" style="40"/>
    <col min="16122" max="16122" width="19.25" style="40" bestFit="1" customWidth="1"/>
    <col min="16123" max="16125" width="9" style="40"/>
    <col min="16126" max="16126" width="20.625" style="40" bestFit="1" customWidth="1"/>
    <col min="16127" max="16127" width="9" style="40"/>
    <col min="16128" max="16128" width="2.25" style="40" customWidth="1"/>
    <col min="16129" max="16129" width="17.375" style="40" customWidth="1"/>
    <col min="16130" max="16132" width="9" style="40"/>
    <col min="16133" max="16133" width="20.625" style="40" bestFit="1" customWidth="1"/>
    <col min="16134" max="16384" width="9" style="40"/>
  </cols>
  <sheetData>
    <row r="1" spans="1:13" ht="17.25">
      <c r="A1" s="37" t="s">
        <v>1283</v>
      </c>
    </row>
    <row r="2" spans="1:13" s="42" customFormat="1" ht="17.25">
      <c r="A2" s="258" t="s">
        <v>1284</v>
      </c>
      <c r="B2" s="258"/>
      <c r="C2" s="258"/>
      <c r="D2" s="258"/>
      <c r="E2" s="258"/>
      <c r="F2" s="258"/>
      <c r="H2" s="258" t="s">
        <v>1285</v>
      </c>
      <c r="I2" s="258"/>
      <c r="J2" s="258"/>
      <c r="K2" s="258"/>
      <c r="L2" s="258"/>
      <c r="M2" s="258"/>
    </row>
    <row r="3" spans="1:13">
      <c r="A3" s="38" t="s">
        <v>1286</v>
      </c>
      <c r="B3" s="38" t="s">
        <v>1287</v>
      </c>
      <c r="C3" s="43" t="s">
        <v>41</v>
      </c>
      <c r="D3" s="38" t="s">
        <v>1099</v>
      </c>
      <c r="E3" s="38" t="s">
        <v>1288</v>
      </c>
      <c r="F3" s="38" t="s">
        <v>1289</v>
      </c>
      <c r="H3" s="38" t="s">
        <v>1286</v>
      </c>
      <c r="I3" s="38" t="s">
        <v>1287</v>
      </c>
      <c r="J3" s="43" t="s">
        <v>41</v>
      </c>
      <c r="K3" s="38" t="s">
        <v>1099</v>
      </c>
      <c r="L3" s="38" t="s">
        <v>1288</v>
      </c>
      <c r="M3" s="38" t="s">
        <v>1289</v>
      </c>
    </row>
    <row r="4" spans="1:13">
      <c r="A4" s="44" t="s">
        <v>1290</v>
      </c>
      <c r="B4" s="44" t="s">
        <v>1291</v>
      </c>
      <c r="C4" s="45" t="s">
        <v>1292</v>
      </c>
      <c r="D4" s="44">
        <v>0</v>
      </c>
      <c r="E4" s="44" t="s">
        <v>1292</v>
      </c>
      <c r="F4" s="46" t="s">
        <v>1293</v>
      </c>
      <c r="H4" s="47" t="s">
        <v>1290</v>
      </c>
      <c r="I4" s="47" t="s">
        <v>1291</v>
      </c>
      <c r="J4" s="48" t="s">
        <v>1292</v>
      </c>
      <c r="K4" s="47">
        <v>0</v>
      </c>
      <c r="L4" s="47" t="s">
        <v>1292</v>
      </c>
      <c r="M4" s="47" t="s">
        <v>1293</v>
      </c>
    </row>
    <row r="5" spans="1:13">
      <c r="A5" s="46" t="s">
        <v>1290</v>
      </c>
      <c r="B5" s="46" t="s">
        <v>1291</v>
      </c>
      <c r="C5" s="49" t="s">
        <v>1294</v>
      </c>
      <c r="D5" s="50" t="s">
        <v>1295</v>
      </c>
      <c r="E5" s="46" t="s">
        <v>1296</v>
      </c>
      <c r="F5" s="46" t="s">
        <v>1297</v>
      </c>
      <c r="H5" s="38"/>
      <c r="I5" s="38"/>
      <c r="J5" s="43"/>
      <c r="K5" s="38"/>
      <c r="L5" s="38"/>
      <c r="M5" s="38"/>
    </row>
    <row r="6" spans="1:13">
      <c r="A6" s="46" t="s">
        <v>1228</v>
      </c>
      <c r="B6" s="46" t="s">
        <v>1298</v>
      </c>
      <c r="C6" s="49" t="s">
        <v>1294</v>
      </c>
      <c r="D6" s="50" t="s">
        <v>1295</v>
      </c>
      <c r="E6" s="46" t="s">
        <v>1228</v>
      </c>
      <c r="F6" s="46" t="s">
        <v>1299</v>
      </c>
      <c r="H6" s="38" t="s">
        <v>1228</v>
      </c>
      <c r="I6" s="38" t="s">
        <v>1298</v>
      </c>
      <c r="J6" s="43" t="s">
        <v>1294</v>
      </c>
      <c r="K6" s="38">
        <v>1</v>
      </c>
      <c r="L6" s="38" t="s">
        <v>1228</v>
      </c>
      <c r="M6" s="51" t="s">
        <v>1300</v>
      </c>
    </row>
    <row r="7" spans="1:13">
      <c r="A7" s="46" t="s">
        <v>1268</v>
      </c>
      <c r="B7" s="46" t="s">
        <v>1301</v>
      </c>
      <c r="C7" s="49" t="s">
        <v>1294</v>
      </c>
      <c r="D7" s="50" t="s">
        <v>1295</v>
      </c>
      <c r="E7" s="46" t="s">
        <v>1268</v>
      </c>
      <c r="F7" s="46" t="s">
        <v>1302</v>
      </c>
      <c r="H7" s="38"/>
      <c r="I7" s="38"/>
      <c r="J7" s="43"/>
      <c r="K7" s="38"/>
      <c r="L7" s="38"/>
      <c r="M7" s="47"/>
    </row>
    <row r="8" spans="1:13">
      <c r="A8" s="46" t="s">
        <v>1303</v>
      </c>
      <c r="B8" s="46" t="s">
        <v>1304</v>
      </c>
      <c r="C8" s="49" t="s">
        <v>1294</v>
      </c>
      <c r="D8" s="50" t="s">
        <v>1295</v>
      </c>
      <c r="E8" s="46" t="s">
        <v>1303</v>
      </c>
      <c r="F8" s="46" t="s">
        <v>1305</v>
      </c>
      <c r="H8" s="38" t="s">
        <v>1303</v>
      </c>
      <c r="I8" s="38" t="s">
        <v>1304</v>
      </c>
      <c r="J8" s="43" t="s">
        <v>1306</v>
      </c>
      <c r="K8" s="38" t="s">
        <v>1307</v>
      </c>
      <c r="L8" s="38" t="s">
        <v>1303</v>
      </c>
      <c r="M8" s="47" t="s">
        <v>1308</v>
      </c>
    </row>
    <row r="9" spans="1:13">
      <c r="A9" s="46" t="s">
        <v>1309</v>
      </c>
      <c r="B9" s="46" t="s">
        <v>1310</v>
      </c>
      <c r="C9" s="49" t="s">
        <v>1294</v>
      </c>
      <c r="D9" s="50" t="s">
        <v>1295</v>
      </c>
      <c r="E9" s="46" t="s">
        <v>1309</v>
      </c>
      <c r="F9" s="46" t="s">
        <v>1311</v>
      </c>
      <c r="H9" s="38" t="s">
        <v>1309</v>
      </c>
      <c r="I9" s="38" t="s">
        <v>1310</v>
      </c>
      <c r="J9" s="43" t="s">
        <v>1306</v>
      </c>
      <c r="K9" s="38" t="s">
        <v>1307</v>
      </c>
      <c r="L9" s="38" t="s">
        <v>1309</v>
      </c>
      <c r="M9" s="47" t="s">
        <v>1312</v>
      </c>
    </row>
    <row r="10" spans="1:13">
      <c r="A10" s="52" t="s">
        <v>1290</v>
      </c>
      <c r="B10" s="52" t="s">
        <v>1291</v>
      </c>
      <c r="C10" s="53" t="s">
        <v>1313</v>
      </c>
      <c r="D10" s="54" t="s">
        <v>1314</v>
      </c>
      <c r="E10" s="52" t="s">
        <v>1315</v>
      </c>
      <c r="F10" s="52" t="s">
        <v>1316</v>
      </c>
      <c r="H10" s="38"/>
      <c r="I10" s="38"/>
      <c r="J10" s="43"/>
      <c r="K10" s="38"/>
      <c r="L10" s="38"/>
      <c r="M10" s="38"/>
    </row>
    <row r="11" spans="1:13">
      <c r="A11" s="52" t="s">
        <v>1228</v>
      </c>
      <c r="B11" s="52" t="s">
        <v>1298</v>
      </c>
      <c r="C11" s="53" t="s">
        <v>1313</v>
      </c>
      <c r="D11" s="54" t="s">
        <v>1314</v>
      </c>
      <c r="E11" s="52" t="s">
        <v>1228</v>
      </c>
      <c r="F11" s="52" t="s">
        <v>1317</v>
      </c>
      <c r="H11" s="38" t="s">
        <v>1228</v>
      </c>
      <c r="I11" s="38" t="s">
        <v>1298</v>
      </c>
      <c r="J11" s="43" t="s">
        <v>1313</v>
      </c>
      <c r="K11" s="38">
        <v>2</v>
      </c>
      <c r="L11" s="38" t="s">
        <v>1228</v>
      </c>
      <c r="M11" s="47" t="s">
        <v>1318</v>
      </c>
    </row>
    <row r="12" spans="1:13" ht="12.75" customHeight="1">
      <c r="A12" s="38" t="s">
        <v>1228</v>
      </c>
      <c r="B12" s="38" t="s">
        <v>1298</v>
      </c>
      <c r="C12" s="43" t="s">
        <v>1319</v>
      </c>
      <c r="D12" s="38">
        <v>3</v>
      </c>
      <c r="E12" s="38" t="s">
        <v>1228</v>
      </c>
      <c r="F12" s="38" t="s">
        <v>1320</v>
      </c>
      <c r="H12" s="38" t="s">
        <v>1228</v>
      </c>
      <c r="I12" s="38" t="s">
        <v>1298</v>
      </c>
      <c r="J12" s="43" t="s">
        <v>1319</v>
      </c>
      <c r="K12" s="38">
        <v>3</v>
      </c>
      <c r="L12" s="38" t="s">
        <v>1228</v>
      </c>
      <c r="M12" s="47" t="s">
        <v>1320</v>
      </c>
    </row>
    <row r="13" spans="1:13">
      <c r="A13" s="52" t="s">
        <v>1290</v>
      </c>
      <c r="B13" s="52" t="s">
        <v>1291</v>
      </c>
      <c r="C13" s="53" t="s">
        <v>1321</v>
      </c>
      <c r="D13" s="54" t="s">
        <v>1322</v>
      </c>
      <c r="E13" s="52" t="s">
        <v>1323</v>
      </c>
      <c r="F13" s="52" t="s">
        <v>1324</v>
      </c>
      <c r="H13" s="38"/>
      <c r="I13" s="38"/>
      <c r="J13" s="43"/>
      <c r="K13" s="38"/>
      <c r="L13" s="38"/>
      <c r="M13" s="38"/>
    </row>
    <row r="14" spans="1:13">
      <c r="A14" s="52" t="s">
        <v>1228</v>
      </c>
      <c r="B14" s="52" t="s">
        <v>1298</v>
      </c>
      <c r="C14" s="53" t="s">
        <v>1321</v>
      </c>
      <c r="D14" s="54" t="s">
        <v>1322</v>
      </c>
      <c r="E14" s="52" t="s">
        <v>1228</v>
      </c>
      <c r="F14" s="52" t="s">
        <v>1325</v>
      </c>
      <c r="H14" s="38" t="s">
        <v>1228</v>
      </c>
      <c r="I14" s="38" t="s">
        <v>1298</v>
      </c>
      <c r="J14" s="43" t="s">
        <v>1321</v>
      </c>
      <c r="K14" s="38">
        <v>8</v>
      </c>
      <c r="L14" s="38" t="s">
        <v>1228</v>
      </c>
      <c r="M14" s="47" t="s">
        <v>1326</v>
      </c>
    </row>
    <row r="15" spans="1:13">
      <c r="A15" s="55" t="s">
        <v>1290</v>
      </c>
      <c r="B15" s="55" t="s">
        <v>1291</v>
      </c>
      <c r="C15" s="56" t="s">
        <v>1327</v>
      </c>
      <c r="D15" s="57" t="s">
        <v>1328</v>
      </c>
      <c r="E15" s="55" t="s">
        <v>1329</v>
      </c>
      <c r="F15" s="55" t="s">
        <v>1330</v>
      </c>
      <c r="H15" s="38"/>
      <c r="I15" s="38"/>
      <c r="J15" s="43"/>
      <c r="K15" s="38"/>
      <c r="L15" s="38"/>
      <c r="M15" s="38"/>
    </row>
    <row r="16" spans="1:13">
      <c r="A16" s="55" t="s">
        <v>1331</v>
      </c>
      <c r="B16" s="55" t="s">
        <v>1298</v>
      </c>
      <c r="C16" s="56" t="s">
        <v>1327</v>
      </c>
      <c r="D16" s="57" t="s">
        <v>1328</v>
      </c>
      <c r="E16" s="55" t="s">
        <v>1228</v>
      </c>
      <c r="F16" s="55" t="s">
        <v>1332</v>
      </c>
      <c r="H16" s="38" t="s">
        <v>1228</v>
      </c>
      <c r="I16" s="38" t="s">
        <v>1298</v>
      </c>
      <c r="J16" s="43" t="s">
        <v>1327</v>
      </c>
      <c r="K16" s="38">
        <v>9</v>
      </c>
      <c r="L16" s="38" t="s">
        <v>1228</v>
      </c>
      <c r="M16" s="47" t="s">
        <v>1333</v>
      </c>
    </row>
    <row r="17" spans="1:13">
      <c r="A17" s="55" t="s">
        <v>1290</v>
      </c>
      <c r="B17" s="55" t="s">
        <v>1291</v>
      </c>
      <c r="C17" s="56" t="s">
        <v>1334</v>
      </c>
      <c r="D17" s="57" t="s">
        <v>1335</v>
      </c>
      <c r="E17" s="55" t="s">
        <v>1336</v>
      </c>
      <c r="F17" s="55" t="s">
        <v>1337</v>
      </c>
      <c r="H17" s="38"/>
      <c r="I17" s="38"/>
      <c r="J17" s="43"/>
      <c r="K17" s="38"/>
      <c r="L17" s="38"/>
      <c r="M17" s="38"/>
    </row>
    <row r="18" spans="1:13">
      <c r="A18" s="55" t="s">
        <v>1334</v>
      </c>
      <c r="B18" s="55" t="s">
        <v>1298</v>
      </c>
      <c r="C18" s="56" t="s">
        <v>1334</v>
      </c>
      <c r="D18" s="57" t="s">
        <v>1335</v>
      </c>
      <c r="E18" s="55" t="s">
        <v>1334</v>
      </c>
      <c r="F18" s="55" t="s">
        <v>1338</v>
      </c>
      <c r="H18" s="38"/>
      <c r="I18" s="38"/>
      <c r="J18" s="43"/>
      <c r="K18" s="38"/>
      <c r="L18" s="38"/>
      <c r="M18" s="38"/>
    </row>
    <row r="19" spans="1:13">
      <c r="A19" s="58" t="s">
        <v>1290</v>
      </c>
      <c r="B19" s="58" t="s">
        <v>1291</v>
      </c>
      <c r="C19" s="59" t="s">
        <v>1274</v>
      </c>
      <c r="D19" s="60" t="s">
        <v>1339</v>
      </c>
      <c r="E19" s="58" t="s">
        <v>1340</v>
      </c>
      <c r="F19" s="58" t="s">
        <v>1341</v>
      </c>
      <c r="H19" s="38"/>
      <c r="I19" s="38"/>
      <c r="J19" s="43"/>
      <c r="K19" s="38"/>
      <c r="L19" s="38"/>
      <c r="M19" s="38"/>
    </row>
    <row r="20" spans="1:13">
      <c r="A20" s="61" t="s">
        <v>1342</v>
      </c>
      <c r="B20" s="61" t="s">
        <v>1298</v>
      </c>
      <c r="C20" s="59" t="s">
        <v>1274</v>
      </c>
      <c r="D20" s="60" t="s">
        <v>1339</v>
      </c>
      <c r="E20" s="61" t="s">
        <v>1342</v>
      </c>
      <c r="F20" s="58" t="s">
        <v>1343</v>
      </c>
      <c r="H20" s="62" t="s">
        <v>1342</v>
      </c>
      <c r="I20" s="62" t="s">
        <v>1298</v>
      </c>
      <c r="J20" s="63" t="s">
        <v>1344</v>
      </c>
      <c r="K20" s="62">
        <v>4</v>
      </c>
      <c r="L20" s="62" t="s">
        <v>1342</v>
      </c>
      <c r="M20" s="47" t="s">
        <v>1345</v>
      </c>
    </row>
    <row r="21" spans="1:13">
      <c r="A21" s="58" t="s">
        <v>1346</v>
      </c>
      <c r="B21" s="61" t="s">
        <v>1301</v>
      </c>
      <c r="C21" s="59" t="s">
        <v>1274</v>
      </c>
      <c r="D21" s="60" t="s">
        <v>1339</v>
      </c>
      <c r="E21" s="58" t="s">
        <v>1346</v>
      </c>
      <c r="F21" s="58" t="s">
        <v>1347</v>
      </c>
      <c r="H21" s="38" t="s">
        <v>1346</v>
      </c>
      <c r="I21" s="38" t="s">
        <v>1301</v>
      </c>
      <c r="J21" s="43" t="s">
        <v>1344</v>
      </c>
      <c r="K21" s="38">
        <v>4</v>
      </c>
      <c r="L21" s="38" t="s">
        <v>1346</v>
      </c>
      <c r="M21" s="47" t="s">
        <v>1348</v>
      </c>
    </row>
    <row r="22" spans="1:13">
      <c r="A22" s="58" t="s">
        <v>1349</v>
      </c>
      <c r="B22" s="61" t="s">
        <v>1304</v>
      </c>
      <c r="C22" s="59" t="s">
        <v>1274</v>
      </c>
      <c r="D22" s="60" t="s">
        <v>1339</v>
      </c>
      <c r="E22" s="58" t="s">
        <v>1349</v>
      </c>
      <c r="F22" s="58" t="s">
        <v>1350</v>
      </c>
      <c r="H22" s="38" t="s">
        <v>1349</v>
      </c>
      <c r="I22" s="38" t="s">
        <v>1304</v>
      </c>
      <c r="J22" s="43" t="s">
        <v>1344</v>
      </c>
      <c r="K22" s="38">
        <v>4</v>
      </c>
      <c r="L22" s="38" t="s">
        <v>1349</v>
      </c>
      <c r="M22" s="47" t="s">
        <v>1351</v>
      </c>
    </row>
    <row r="23" spans="1:13">
      <c r="A23" s="58" t="s">
        <v>1352</v>
      </c>
      <c r="B23" s="61" t="s">
        <v>1310</v>
      </c>
      <c r="C23" s="59" t="s">
        <v>1274</v>
      </c>
      <c r="D23" s="60" t="s">
        <v>1339</v>
      </c>
      <c r="E23" s="58" t="s">
        <v>1352</v>
      </c>
      <c r="F23" s="58" t="s">
        <v>1353</v>
      </c>
      <c r="H23" s="38" t="s">
        <v>1352</v>
      </c>
      <c r="I23" s="38" t="s">
        <v>1298</v>
      </c>
      <c r="J23" s="43" t="s">
        <v>1354</v>
      </c>
      <c r="K23" s="38">
        <v>5</v>
      </c>
      <c r="L23" s="38" t="s">
        <v>1352</v>
      </c>
      <c r="M23" s="47" t="s">
        <v>1355</v>
      </c>
    </row>
    <row r="24" spans="1:13">
      <c r="A24" s="58" t="s">
        <v>1356</v>
      </c>
      <c r="B24" s="61" t="s">
        <v>1357</v>
      </c>
      <c r="C24" s="59" t="s">
        <v>1274</v>
      </c>
      <c r="D24" s="60" t="s">
        <v>1339</v>
      </c>
      <c r="E24" s="58" t="s">
        <v>1356</v>
      </c>
      <c r="F24" s="58" t="s">
        <v>1358</v>
      </c>
      <c r="H24" s="38" t="s">
        <v>1356</v>
      </c>
      <c r="I24" s="38" t="s">
        <v>1301</v>
      </c>
      <c r="J24" s="43" t="s">
        <v>1354</v>
      </c>
      <c r="K24" s="38">
        <v>5</v>
      </c>
      <c r="L24" s="38" t="s">
        <v>1356</v>
      </c>
      <c r="M24" s="47" t="s">
        <v>1359</v>
      </c>
    </row>
    <row r="25" spans="1:13">
      <c r="A25" s="64" t="s">
        <v>1360</v>
      </c>
      <c r="B25" s="60" t="s">
        <v>1361</v>
      </c>
      <c r="C25" s="65" t="s">
        <v>1274</v>
      </c>
      <c r="D25" s="60" t="s">
        <v>1339</v>
      </c>
      <c r="E25" s="64" t="s">
        <v>1360</v>
      </c>
      <c r="F25" s="64" t="s">
        <v>1362</v>
      </c>
      <c r="H25" s="38" t="s">
        <v>1363</v>
      </c>
      <c r="I25" s="38" t="s">
        <v>1298</v>
      </c>
      <c r="J25" s="43" t="s">
        <v>1364</v>
      </c>
      <c r="K25" s="38">
        <v>6</v>
      </c>
      <c r="L25" s="38" t="s">
        <v>1363</v>
      </c>
      <c r="M25" s="47" t="s">
        <v>1365</v>
      </c>
    </row>
    <row r="26" spans="1:13">
      <c r="A26" s="58" t="s">
        <v>1366</v>
      </c>
      <c r="B26" s="61" t="s">
        <v>1367</v>
      </c>
      <c r="C26" s="59" t="s">
        <v>1274</v>
      </c>
      <c r="D26" s="60" t="s">
        <v>1339</v>
      </c>
      <c r="E26" s="58" t="s">
        <v>1366</v>
      </c>
      <c r="F26" s="58" t="s">
        <v>1368</v>
      </c>
      <c r="H26" s="38" t="s">
        <v>1366</v>
      </c>
      <c r="I26" s="38" t="s">
        <v>1301</v>
      </c>
      <c r="J26" s="43" t="s">
        <v>1364</v>
      </c>
      <c r="K26" s="38">
        <v>6</v>
      </c>
      <c r="L26" s="38" t="s">
        <v>1366</v>
      </c>
      <c r="M26" s="47" t="s">
        <v>1369</v>
      </c>
    </row>
    <row r="27" spans="1:13">
      <c r="A27" s="58" t="s">
        <v>1370</v>
      </c>
      <c r="B27" s="61" t="s">
        <v>1371</v>
      </c>
      <c r="C27" s="59" t="s">
        <v>1274</v>
      </c>
      <c r="D27" s="60" t="s">
        <v>1339</v>
      </c>
      <c r="E27" s="58" t="s">
        <v>1370</v>
      </c>
      <c r="F27" s="58" t="s">
        <v>1372</v>
      </c>
      <c r="H27" s="38" t="s">
        <v>1370</v>
      </c>
      <c r="I27" s="38" t="s">
        <v>1373</v>
      </c>
      <c r="J27" s="43" t="s">
        <v>1344</v>
      </c>
      <c r="K27" s="38">
        <v>4</v>
      </c>
      <c r="L27" s="38" t="s">
        <v>1370</v>
      </c>
      <c r="M27" s="47" t="s">
        <v>1374</v>
      </c>
    </row>
    <row r="28" spans="1:13">
      <c r="A28" s="58" t="s">
        <v>1375</v>
      </c>
      <c r="B28" s="61" t="s">
        <v>1373</v>
      </c>
      <c r="C28" s="59" t="s">
        <v>1274</v>
      </c>
      <c r="D28" s="60" t="s">
        <v>1339</v>
      </c>
      <c r="E28" s="58" t="s">
        <v>1375</v>
      </c>
      <c r="F28" s="58" t="s">
        <v>1376</v>
      </c>
      <c r="H28" s="38" t="s">
        <v>1375</v>
      </c>
      <c r="I28" s="38">
        <v>10</v>
      </c>
      <c r="J28" s="43" t="s">
        <v>1344</v>
      </c>
      <c r="K28" s="38">
        <v>4</v>
      </c>
      <c r="L28" s="38" t="s">
        <v>1375</v>
      </c>
      <c r="M28" s="47" t="s">
        <v>1377</v>
      </c>
    </row>
    <row r="29" spans="1:13" ht="24" customHeight="1">
      <c r="A29" s="66" t="s">
        <v>1378</v>
      </c>
      <c r="B29" s="60" t="s">
        <v>1379</v>
      </c>
      <c r="C29" s="65" t="s">
        <v>1274</v>
      </c>
      <c r="D29" s="60" t="s">
        <v>1339</v>
      </c>
      <c r="E29" s="66" t="s">
        <v>1378</v>
      </c>
      <c r="F29" s="64" t="s">
        <v>1380</v>
      </c>
      <c r="H29" s="39" t="s">
        <v>1381</v>
      </c>
      <c r="I29" s="38">
        <v>11</v>
      </c>
      <c r="J29" s="43" t="s">
        <v>1344</v>
      </c>
      <c r="K29" s="38">
        <v>4</v>
      </c>
      <c r="L29" s="39" t="s">
        <v>1381</v>
      </c>
      <c r="M29" s="47" t="s">
        <v>1382</v>
      </c>
    </row>
    <row r="30" spans="1:13">
      <c r="A30" s="58" t="s">
        <v>1383</v>
      </c>
      <c r="B30" s="61" t="s">
        <v>1384</v>
      </c>
      <c r="C30" s="59" t="s">
        <v>1274</v>
      </c>
      <c r="D30" s="60" t="s">
        <v>1339</v>
      </c>
      <c r="E30" s="58" t="s">
        <v>1383</v>
      </c>
      <c r="F30" s="58" t="s">
        <v>1385</v>
      </c>
      <c r="H30" s="38" t="s">
        <v>1383</v>
      </c>
      <c r="I30" s="38">
        <v>12</v>
      </c>
      <c r="J30" s="43" t="s">
        <v>1344</v>
      </c>
      <c r="K30" s="38">
        <v>4</v>
      </c>
      <c r="L30" s="38" t="s">
        <v>1383</v>
      </c>
      <c r="M30" s="47" t="s">
        <v>1386</v>
      </c>
    </row>
    <row r="31" spans="1:13">
      <c r="A31" s="58" t="s">
        <v>1387</v>
      </c>
      <c r="B31" s="61" t="s">
        <v>1388</v>
      </c>
      <c r="C31" s="59" t="s">
        <v>1274</v>
      </c>
      <c r="D31" s="60" t="s">
        <v>1339</v>
      </c>
      <c r="E31" s="58" t="s">
        <v>1387</v>
      </c>
      <c r="F31" s="58" t="s">
        <v>1389</v>
      </c>
      <c r="H31" s="38" t="s">
        <v>1387</v>
      </c>
      <c r="I31" s="38">
        <v>13</v>
      </c>
      <c r="J31" s="43" t="s">
        <v>1344</v>
      </c>
      <c r="K31" s="38">
        <v>4</v>
      </c>
      <c r="L31" s="38" t="s">
        <v>1387</v>
      </c>
      <c r="M31" s="47" t="s">
        <v>1390</v>
      </c>
    </row>
    <row r="32" spans="1:13">
      <c r="A32" s="58" t="s">
        <v>1391</v>
      </c>
      <c r="B32" s="61" t="s">
        <v>1392</v>
      </c>
      <c r="C32" s="59" t="s">
        <v>1274</v>
      </c>
      <c r="D32" s="60" t="s">
        <v>1339</v>
      </c>
      <c r="E32" s="58" t="s">
        <v>1391</v>
      </c>
      <c r="F32" s="58" t="s">
        <v>1393</v>
      </c>
      <c r="H32" s="38" t="s">
        <v>1391</v>
      </c>
      <c r="I32" s="38">
        <v>14</v>
      </c>
      <c r="J32" s="43" t="s">
        <v>1344</v>
      </c>
      <c r="K32" s="38">
        <v>4</v>
      </c>
      <c r="L32" s="38" t="s">
        <v>1391</v>
      </c>
      <c r="M32" s="47" t="s">
        <v>1394</v>
      </c>
    </row>
    <row r="33" spans="1:13" ht="12.75" customHeight="1">
      <c r="A33" s="38" t="s">
        <v>1395</v>
      </c>
      <c r="B33" s="38" t="s">
        <v>1310</v>
      </c>
      <c r="C33" s="43" t="s">
        <v>1344</v>
      </c>
      <c r="D33" s="38">
        <v>4</v>
      </c>
      <c r="E33" s="38" t="s">
        <v>1395</v>
      </c>
      <c r="F33" s="38" t="s">
        <v>1396</v>
      </c>
      <c r="H33" s="38" t="s">
        <v>1395</v>
      </c>
      <c r="I33" s="38" t="s">
        <v>1310</v>
      </c>
      <c r="J33" s="43" t="s">
        <v>1344</v>
      </c>
      <c r="K33" s="38">
        <v>4</v>
      </c>
      <c r="L33" s="38" t="s">
        <v>1395</v>
      </c>
      <c r="M33" s="47" t="s">
        <v>1396</v>
      </c>
    </row>
    <row r="34" spans="1:13" ht="12.75" customHeight="1">
      <c r="A34" s="38" t="s">
        <v>1397</v>
      </c>
      <c r="B34" s="38" t="s">
        <v>1357</v>
      </c>
      <c r="C34" s="43" t="s">
        <v>1398</v>
      </c>
      <c r="D34" s="38">
        <v>4</v>
      </c>
      <c r="E34" s="38" t="s">
        <v>1397</v>
      </c>
      <c r="F34" s="38" t="s">
        <v>1399</v>
      </c>
      <c r="H34" s="38" t="s">
        <v>1397</v>
      </c>
      <c r="I34" s="38" t="s">
        <v>1357</v>
      </c>
      <c r="J34" s="43" t="s">
        <v>1344</v>
      </c>
      <c r="K34" s="38">
        <v>4</v>
      </c>
      <c r="L34" s="38" t="s">
        <v>1397</v>
      </c>
      <c r="M34" s="47" t="s">
        <v>1399</v>
      </c>
    </row>
    <row r="35" spans="1:13" ht="12.75" customHeight="1">
      <c r="A35" s="38" t="s">
        <v>1400</v>
      </c>
      <c r="B35" s="38">
        <v>12</v>
      </c>
      <c r="C35" s="43" t="s">
        <v>1364</v>
      </c>
      <c r="D35" s="38">
        <v>6</v>
      </c>
      <c r="E35" s="38" t="s">
        <v>1400</v>
      </c>
      <c r="F35" s="38" t="s">
        <v>1401</v>
      </c>
      <c r="H35" s="38" t="s">
        <v>1400</v>
      </c>
      <c r="I35" s="38">
        <v>12</v>
      </c>
      <c r="J35" s="43" t="s">
        <v>1364</v>
      </c>
      <c r="K35" s="38">
        <v>6</v>
      </c>
      <c r="L35" s="38" t="s">
        <v>1400</v>
      </c>
      <c r="M35" s="47" t="s">
        <v>1401</v>
      </c>
    </row>
    <row r="36" spans="1:13" ht="36" customHeight="1">
      <c r="A36" s="39" t="s">
        <v>1402</v>
      </c>
      <c r="B36" s="38">
        <v>15</v>
      </c>
      <c r="C36" s="43" t="s">
        <v>1398</v>
      </c>
      <c r="D36" s="38">
        <v>4</v>
      </c>
      <c r="E36" s="38" t="s">
        <v>1403</v>
      </c>
      <c r="F36" s="38" t="s">
        <v>1404</v>
      </c>
      <c r="H36" s="39" t="s">
        <v>1402</v>
      </c>
      <c r="I36" s="38">
        <v>15</v>
      </c>
      <c r="J36" s="43" t="s">
        <v>1344</v>
      </c>
      <c r="K36" s="38">
        <v>4</v>
      </c>
      <c r="L36" s="38" t="s">
        <v>1403</v>
      </c>
      <c r="M36" s="47" t="s">
        <v>1404</v>
      </c>
    </row>
    <row r="37" spans="1:13">
      <c r="A37" s="58" t="s">
        <v>1405</v>
      </c>
      <c r="B37" s="61" t="s">
        <v>1406</v>
      </c>
      <c r="C37" s="59" t="s">
        <v>1274</v>
      </c>
      <c r="D37" s="60" t="s">
        <v>1339</v>
      </c>
      <c r="E37" s="58" t="s">
        <v>1405</v>
      </c>
      <c r="F37" s="58" t="s">
        <v>1407</v>
      </c>
      <c r="H37" s="38" t="s">
        <v>1405</v>
      </c>
      <c r="I37" s="38">
        <v>16</v>
      </c>
      <c r="J37" s="43" t="s">
        <v>1344</v>
      </c>
      <c r="K37" s="38">
        <v>4</v>
      </c>
      <c r="L37" s="38" t="s">
        <v>1405</v>
      </c>
      <c r="M37" s="47" t="s">
        <v>1408</v>
      </c>
    </row>
    <row r="38" spans="1:13">
      <c r="A38" s="58" t="s">
        <v>1409</v>
      </c>
      <c r="B38" s="61" t="s">
        <v>1410</v>
      </c>
      <c r="C38" s="59" t="s">
        <v>1274</v>
      </c>
      <c r="D38" s="60" t="s">
        <v>1339</v>
      </c>
      <c r="E38" s="58" t="s">
        <v>1409</v>
      </c>
      <c r="F38" s="58" t="s">
        <v>1411</v>
      </c>
      <c r="H38" s="38" t="s">
        <v>1409</v>
      </c>
      <c r="I38" s="38">
        <v>17</v>
      </c>
      <c r="J38" s="43" t="s">
        <v>1344</v>
      </c>
      <c r="K38" s="38">
        <v>4</v>
      </c>
      <c r="L38" s="38" t="s">
        <v>1409</v>
      </c>
      <c r="M38" s="47" t="s">
        <v>1412</v>
      </c>
    </row>
    <row r="39" spans="1:13">
      <c r="A39" s="58" t="s">
        <v>1413</v>
      </c>
      <c r="B39" s="61" t="s">
        <v>1414</v>
      </c>
      <c r="C39" s="59" t="s">
        <v>1274</v>
      </c>
      <c r="D39" s="60" t="s">
        <v>1339</v>
      </c>
      <c r="E39" s="58" t="s">
        <v>1413</v>
      </c>
      <c r="F39" s="58" t="s">
        <v>1415</v>
      </c>
      <c r="H39" s="38" t="s">
        <v>1413</v>
      </c>
      <c r="I39" s="38">
        <v>18</v>
      </c>
      <c r="J39" s="43" t="s">
        <v>1344</v>
      </c>
      <c r="K39" s="38">
        <v>4</v>
      </c>
      <c r="L39" s="38" t="s">
        <v>1413</v>
      </c>
      <c r="M39" s="47" t="s">
        <v>1416</v>
      </c>
    </row>
    <row r="40" spans="1:13">
      <c r="A40" s="67" t="s">
        <v>1290</v>
      </c>
      <c r="B40" s="67" t="s">
        <v>1291</v>
      </c>
      <c r="C40" s="68" t="s">
        <v>1417</v>
      </c>
      <c r="D40" s="69" t="s">
        <v>1418</v>
      </c>
      <c r="E40" s="67" t="s">
        <v>1419</v>
      </c>
      <c r="F40" s="67" t="s">
        <v>1420</v>
      </c>
      <c r="H40" s="38"/>
      <c r="I40" s="38"/>
      <c r="J40" s="43"/>
      <c r="K40" s="38"/>
      <c r="L40" s="38"/>
      <c r="M40" s="38"/>
    </row>
    <row r="41" spans="1:13">
      <c r="A41" s="67" t="s">
        <v>1421</v>
      </c>
      <c r="B41" s="67" t="s">
        <v>1298</v>
      </c>
      <c r="C41" s="68" t="s">
        <v>1417</v>
      </c>
      <c r="D41" s="69" t="s">
        <v>1418</v>
      </c>
      <c r="E41" s="67" t="s">
        <v>1417</v>
      </c>
      <c r="F41" s="67" t="s">
        <v>1422</v>
      </c>
      <c r="H41" s="38" t="s">
        <v>1417</v>
      </c>
      <c r="I41" s="38" t="s">
        <v>1298</v>
      </c>
      <c r="J41" s="43" t="s">
        <v>1421</v>
      </c>
      <c r="K41" s="38">
        <v>7</v>
      </c>
      <c r="L41" s="38" t="s">
        <v>1417</v>
      </c>
      <c r="M41" s="47" t="s">
        <v>1423</v>
      </c>
    </row>
    <row r="42" spans="1:13">
      <c r="A42" s="70" t="s">
        <v>1424</v>
      </c>
      <c r="B42" s="70" t="s">
        <v>1301</v>
      </c>
      <c r="C42" s="71" t="s">
        <v>1421</v>
      </c>
      <c r="D42" s="70">
        <v>7</v>
      </c>
      <c r="E42" s="70" t="s">
        <v>1424</v>
      </c>
      <c r="F42" s="38" t="s">
        <v>1425</v>
      </c>
      <c r="H42" s="70" t="s">
        <v>1424</v>
      </c>
      <c r="I42" s="70" t="s">
        <v>1301</v>
      </c>
      <c r="J42" s="71" t="s">
        <v>1421</v>
      </c>
      <c r="K42" s="70">
        <v>7</v>
      </c>
      <c r="L42" s="70" t="s">
        <v>1424</v>
      </c>
      <c r="M42" s="47" t="s">
        <v>1425</v>
      </c>
    </row>
    <row r="43" spans="1:13">
      <c r="A43" s="67" t="s">
        <v>1290</v>
      </c>
      <c r="B43" s="67" t="s">
        <v>1291</v>
      </c>
      <c r="C43" s="68" t="s">
        <v>1426</v>
      </c>
      <c r="D43" s="69" t="s">
        <v>1427</v>
      </c>
      <c r="E43" s="67" t="s">
        <v>1428</v>
      </c>
      <c r="F43" s="67" t="s">
        <v>1429</v>
      </c>
      <c r="H43" s="38"/>
      <c r="I43" s="38"/>
      <c r="J43" s="43"/>
      <c r="K43" s="38"/>
      <c r="L43" s="38"/>
      <c r="M43" s="38"/>
    </row>
    <row r="44" spans="1:13">
      <c r="A44" s="67" t="s">
        <v>1421</v>
      </c>
      <c r="B44" s="67" t="s">
        <v>1298</v>
      </c>
      <c r="C44" s="68" t="s">
        <v>1426</v>
      </c>
      <c r="D44" s="69" t="s">
        <v>1427</v>
      </c>
      <c r="E44" s="67" t="s">
        <v>1426</v>
      </c>
      <c r="F44" s="67" t="s">
        <v>1430</v>
      </c>
      <c r="H44" s="38" t="s">
        <v>1426</v>
      </c>
      <c r="I44" s="38" t="s">
        <v>1304</v>
      </c>
      <c r="J44" s="43" t="s">
        <v>1421</v>
      </c>
      <c r="K44" s="38">
        <v>7</v>
      </c>
      <c r="L44" s="38" t="s">
        <v>1426</v>
      </c>
      <c r="M44" s="47" t="s">
        <v>1431</v>
      </c>
    </row>
    <row r="45" spans="1:13">
      <c r="A45" s="70" t="s">
        <v>1432</v>
      </c>
      <c r="B45" s="70" t="s">
        <v>1301</v>
      </c>
      <c r="C45" s="71" t="s">
        <v>1433</v>
      </c>
      <c r="D45" s="70" t="s">
        <v>73</v>
      </c>
      <c r="E45" s="70" t="s">
        <v>1432</v>
      </c>
      <c r="F45" s="70" t="s">
        <v>1434</v>
      </c>
      <c r="H45" s="38" t="s">
        <v>1432</v>
      </c>
      <c r="I45" s="38" t="s">
        <v>1310</v>
      </c>
      <c r="J45" s="43" t="s">
        <v>1421</v>
      </c>
      <c r="K45" s="38">
        <v>7</v>
      </c>
      <c r="L45" s="38" t="s">
        <v>1432</v>
      </c>
      <c r="M45" s="47" t="s">
        <v>1435</v>
      </c>
    </row>
    <row r="46" spans="1:13">
      <c r="A46" s="67" t="s">
        <v>1290</v>
      </c>
      <c r="B46" s="67" t="s">
        <v>1291</v>
      </c>
      <c r="C46" s="68" t="s">
        <v>1436</v>
      </c>
      <c r="D46" s="69" t="s">
        <v>1437</v>
      </c>
      <c r="E46" s="67" t="s">
        <v>1438</v>
      </c>
      <c r="F46" s="67" t="s">
        <v>1439</v>
      </c>
      <c r="H46" s="38"/>
      <c r="I46" s="38"/>
      <c r="J46" s="43"/>
      <c r="K46" s="38"/>
      <c r="L46" s="38"/>
      <c r="M46" s="38"/>
    </row>
    <row r="47" spans="1:13">
      <c r="A47" s="67" t="s">
        <v>1440</v>
      </c>
      <c r="B47" s="67" t="s">
        <v>1298</v>
      </c>
      <c r="C47" s="68" t="s">
        <v>1436</v>
      </c>
      <c r="D47" s="69" t="s">
        <v>1437</v>
      </c>
      <c r="E47" s="67" t="s">
        <v>1440</v>
      </c>
      <c r="F47" s="67" t="s">
        <v>1441</v>
      </c>
      <c r="H47" s="38" t="s">
        <v>1440</v>
      </c>
      <c r="I47" s="38" t="s">
        <v>1357</v>
      </c>
      <c r="J47" s="43" t="s">
        <v>1421</v>
      </c>
      <c r="K47" s="38">
        <v>7</v>
      </c>
      <c r="L47" s="38" t="s">
        <v>1440</v>
      </c>
      <c r="M47" s="47" t="s">
        <v>1442</v>
      </c>
    </row>
    <row r="48" spans="1:13">
      <c r="A48" s="67" t="s">
        <v>1290</v>
      </c>
      <c r="B48" s="67" t="s">
        <v>1291</v>
      </c>
      <c r="C48" s="68" t="s">
        <v>1433</v>
      </c>
      <c r="D48" s="69" t="s">
        <v>73</v>
      </c>
      <c r="E48" s="67" t="s">
        <v>1443</v>
      </c>
      <c r="F48" s="67" t="s">
        <v>1444</v>
      </c>
      <c r="H48" s="38"/>
      <c r="I48" s="38"/>
      <c r="J48" s="43"/>
      <c r="K48" s="38"/>
      <c r="L48" s="38"/>
      <c r="M48" s="38"/>
    </row>
    <row r="49" spans="1:13">
      <c r="A49" s="67" t="s">
        <v>1445</v>
      </c>
      <c r="B49" s="67" t="s">
        <v>1298</v>
      </c>
      <c r="C49" s="68" t="s">
        <v>1433</v>
      </c>
      <c r="D49" s="69" t="s">
        <v>73</v>
      </c>
      <c r="E49" s="67" t="s">
        <v>1445</v>
      </c>
      <c r="F49" s="67" t="s">
        <v>1446</v>
      </c>
      <c r="H49" s="38" t="s">
        <v>1445</v>
      </c>
      <c r="I49" s="38" t="s">
        <v>1361</v>
      </c>
      <c r="J49" s="43" t="s">
        <v>1421</v>
      </c>
      <c r="K49" s="38">
        <v>7</v>
      </c>
      <c r="L49" s="38" t="s">
        <v>1445</v>
      </c>
      <c r="M49" s="47" t="s">
        <v>1447</v>
      </c>
    </row>
    <row r="50" spans="1:13" ht="12.75" customHeight="1">
      <c r="A50" s="38" t="s">
        <v>1448</v>
      </c>
      <c r="B50" s="38" t="s">
        <v>1367</v>
      </c>
      <c r="C50" s="43" t="s">
        <v>1421</v>
      </c>
      <c r="D50" s="38">
        <v>7</v>
      </c>
      <c r="E50" s="38" t="s">
        <v>1448</v>
      </c>
      <c r="F50" s="38" t="s">
        <v>1449</v>
      </c>
      <c r="H50" s="38" t="s">
        <v>1448</v>
      </c>
      <c r="I50" s="38" t="s">
        <v>1367</v>
      </c>
      <c r="J50" s="43" t="s">
        <v>1421</v>
      </c>
      <c r="K50" s="38">
        <v>7</v>
      </c>
      <c r="L50" s="38" t="s">
        <v>1448</v>
      </c>
      <c r="M50" s="47" t="s">
        <v>1449</v>
      </c>
    </row>
    <row r="51" spans="1:13">
      <c r="A51" s="52" t="s">
        <v>1263</v>
      </c>
      <c r="B51" s="52">
        <v>90</v>
      </c>
      <c r="C51" s="53" t="s">
        <v>1263</v>
      </c>
      <c r="D51" s="52">
        <v>9</v>
      </c>
      <c r="E51" s="52" t="s">
        <v>1263</v>
      </c>
      <c r="F51" s="52" t="s">
        <v>1450</v>
      </c>
      <c r="H51" s="38" t="s">
        <v>1263</v>
      </c>
      <c r="I51" s="38">
        <v>90</v>
      </c>
      <c r="J51" s="43" t="s">
        <v>1263</v>
      </c>
      <c r="K51" s="38">
        <v>9</v>
      </c>
      <c r="L51" s="38" t="s">
        <v>1263</v>
      </c>
      <c r="M51" s="38" t="s">
        <v>1450</v>
      </c>
    </row>
  </sheetData>
  <mergeCells count="2">
    <mergeCell ref="A2:F2"/>
    <mergeCell ref="H2:M2"/>
  </mergeCells>
  <phoneticPr fontId="27" type="noConversion"/>
  <conditionalFormatting sqref="M10">
    <cfRule type="duplicateValues" dxfId="21" priority="20" stopIfTrue="1"/>
  </conditionalFormatting>
  <conditionalFormatting sqref="F10">
    <cfRule type="duplicateValues" dxfId="20" priority="19" stopIfTrue="1"/>
  </conditionalFormatting>
  <conditionalFormatting sqref="M13">
    <cfRule type="duplicateValues" dxfId="19" priority="18" stopIfTrue="1"/>
  </conditionalFormatting>
  <conditionalFormatting sqref="F13">
    <cfRule type="duplicateValues" dxfId="18" priority="17" stopIfTrue="1"/>
  </conditionalFormatting>
  <conditionalFormatting sqref="M15">
    <cfRule type="duplicateValues" dxfId="17" priority="16" stopIfTrue="1"/>
  </conditionalFormatting>
  <conditionalFormatting sqref="F15">
    <cfRule type="duplicateValues" dxfId="16" priority="15" stopIfTrue="1"/>
  </conditionalFormatting>
  <conditionalFormatting sqref="M17">
    <cfRule type="duplicateValues" dxfId="15" priority="14" stopIfTrue="1"/>
  </conditionalFormatting>
  <conditionalFormatting sqref="F17">
    <cfRule type="duplicateValues" dxfId="14" priority="13" stopIfTrue="1"/>
  </conditionalFormatting>
  <conditionalFormatting sqref="M18">
    <cfRule type="duplicateValues" dxfId="13" priority="12" stopIfTrue="1"/>
  </conditionalFormatting>
  <conditionalFormatting sqref="F18">
    <cfRule type="duplicateValues" dxfId="12" priority="11" stopIfTrue="1"/>
  </conditionalFormatting>
  <conditionalFormatting sqref="M20:M39 M2:M9 M11:M12 M14 M16 M41:M42 M44:M45 M47 M49:M51">
    <cfRule type="duplicateValues" dxfId="11" priority="21" stopIfTrue="1"/>
  </conditionalFormatting>
  <conditionalFormatting sqref="F20:F39 F2:F9 F11:F12 F14 F16 F41:F42 F44:F45 F47 F49:F65537">
    <cfRule type="duplicateValues" dxfId="10" priority="22" stopIfTrue="1"/>
  </conditionalFormatting>
  <conditionalFormatting sqref="M19">
    <cfRule type="duplicateValues" dxfId="9" priority="10" stopIfTrue="1"/>
  </conditionalFormatting>
  <conditionalFormatting sqref="F19">
    <cfRule type="duplicateValues" dxfId="8" priority="9" stopIfTrue="1"/>
  </conditionalFormatting>
  <conditionalFormatting sqref="M40">
    <cfRule type="duplicateValues" dxfId="7" priority="8" stopIfTrue="1"/>
  </conditionalFormatting>
  <conditionalFormatting sqref="F40">
    <cfRule type="duplicateValues" dxfId="6" priority="7" stopIfTrue="1"/>
  </conditionalFormatting>
  <conditionalFormatting sqref="M43">
    <cfRule type="duplicateValues" dxfId="5" priority="6" stopIfTrue="1"/>
  </conditionalFormatting>
  <conditionalFormatting sqref="F43">
    <cfRule type="duplicateValues" dxfId="4" priority="5" stopIfTrue="1"/>
  </conditionalFormatting>
  <conditionalFormatting sqref="M46">
    <cfRule type="duplicateValues" dxfId="3" priority="4" stopIfTrue="1"/>
  </conditionalFormatting>
  <conditionalFormatting sqref="F46">
    <cfRule type="duplicateValues" dxfId="2" priority="3" stopIfTrue="1"/>
  </conditionalFormatting>
  <conditionalFormatting sqref="M48">
    <cfRule type="duplicateValues" dxfId="1" priority="2" stopIfTrue="1"/>
  </conditionalFormatting>
  <conditionalFormatting sqref="F48">
    <cfRule type="duplicateValues" dxfId="0" priority="1" stopIfTrue="1"/>
  </conditionalFormatting>
  <pageMargins left="0.69972223043441772" right="0.69972223043441772" top="0.75" bottom="0.75" header="0.30000001192092896" footer="0.30000001192092896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235698B6BB1A224FB7B03603477446CA" ma:contentTypeVersion="15" ma:contentTypeDescription="새 문서를 만듭니다." ma:contentTypeScope="" ma:versionID="251e5b3a0d63a8af06e1db55a8f1a236">
  <xsd:schema xmlns:xsd="http://www.w3.org/2001/XMLSchema" xmlns:xs="http://www.w3.org/2001/XMLSchema" xmlns:p="http://schemas.microsoft.com/office/2006/metadata/properties" xmlns:ns2="c22d8ade-73de-402e-84f6-08aa8f7013fe" xmlns:ns3="e729a085-5cb7-4815-875f-5f07bdd52a85" targetNamespace="http://schemas.microsoft.com/office/2006/metadata/properties" ma:root="true" ma:fieldsID="b50cd4d32695a672874a41e54a275e29" ns2:_="" ns3:_="">
    <xsd:import namespace="c22d8ade-73de-402e-84f6-08aa8f7013fe"/>
    <xsd:import namespace="e729a085-5cb7-4815-875f-5f07bdd52a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2d8ade-73de-402e-84f6-08aa8f7013f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이미지 태그" ma:readOnly="false" ma:fieldId="{5cf76f15-5ced-4ddc-b409-7134ff3c332f}" ma:taxonomyMulti="true" ma:sspId="f4e2f548-455d-435a-be74-9db44d02006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29a085-5cb7-4815-875f-5f07bdd52a85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ebe1a5fc-ccc0-4009-a57a-cf0116ac9f97}" ma:internalName="TaxCatchAll" ma:showField="CatchAllData" ma:web="e729a085-5cb7-4815-875f-5f07bdd52a8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e729a085-5cb7-4815-875f-5f07bdd52a85">
      <UserInfo>
        <DisplayName/>
        <AccountId xsi:nil="true"/>
        <AccountType/>
      </UserInfo>
    </SharedWithUsers>
    <TaxCatchAll xmlns="e729a085-5cb7-4815-875f-5f07bdd52a85" xsi:nil="true"/>
    <lcf76f155ced4ddcb4097134ff3c332f xmlns="c22d8ade-73de-402e-84f6-08aa8f7013f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3FD83FA-FD77-451B-ABDA-1FB52F129A81}"/>
</file>

<file path=customXml/itemProps2.xml><?xml version="1.0" encoding="utf-8"?>
<ds:datastoreItem xmlns:ds="http://schemas.openxmlformats.org/officeDocument/2006/customXml" ds:itemID="{B641B9F2-AFF2-4D26-8C81-060EBEA1A45C}"/>
</file>

<file path=customXml/itemProps3.xml><?xml version="1.0" encoding="utf-8"?>
<ds:datastoreItem xmlns:ds="http://schemas.openxmlformats.org/officeDocument/2006/customXml" ds:itemID="{EEE37B0F-0496-4914-95F8-FDB2B013479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Bumkyu Choi</cp:lastModifiedBy>
  <cp:revision>34</cp:revision>
  <dcterms:created xsi:type="dcterms:W3CDTF">2021-07-15T11:22:06Z</dcterms:created>
  <dcterms:modified xsi:type="dcterms:W3CDTF">2022-12-13T04:53:14Z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0x010100235698B6BB1A224FB7B03603477446CA</vt:lpwstr>
  </property>
  <property fmtid="{D5CDD505-2E9C-101B-9397-08002B2CF9AE}" pid="3" name="_SourceUrl">
    <vt:lpwstr/>
  </property>
  <property fmtid="{D5CDD505-2E9C-101B-9397-08002B2CF9AE}" pid="4" name="_SharedFileIndex">
    <vt:lpwstr/>
  </property>
  <property fmtid="{D5CDD505-2E9C-101B-9397-08002B2CF9AE}" pid="5" name="ComplianceAsset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</Properties>
</file>