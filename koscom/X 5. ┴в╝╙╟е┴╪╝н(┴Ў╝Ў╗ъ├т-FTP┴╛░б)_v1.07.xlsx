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18"/>
  <workbookPr codeName="현재_통합_문서"/>
  <mc:AlternateContent xmlns:mc="http://schemas.openxmlformats.org/markup-compatibility/2006">
    <mc:Choice Requires="x15">
      <x15ac:absPath xmlns:x15ac="http://schemas.microsoft.com/office/spreadsheetml/2010/11/ac" url="\\10.10.3.199\차세대시스템구축tf\053 Koscom\매매정보개발TF\13.지수산출\산출물최종\02.인터페이스설계서,접속표준서,코드값모음집\"/>
    </mc:Choice>
  </mc:AlternateContent>
  <xr:revisionPtr revIDLastSave="0" documentId="11_7FFDA2D1E23FABEED63ADA9CEACE9D54623E7567" xr6:coauthVersionLast="47" xr6:coauthVersionMax="47" xr10:uidLastSave="{00000000-0000-0000-0000-000000000000}"/>
  <bookViews>
    <workbookView xWindow="930" yWindow="0" windowWidth="26010" windowHeight="11715" tabRatio="795" xr2:uid="{00000000-000D-0000-FFFF-FFFF00000000}"/>
  </bookViews>
  <sheets>
    <sheet name="표지" sheetId="1" r:id="rId1"/>
    <sheet name="변경이력(FTP)" sheetId="28" r:id="rId2"/>
    <sheet name="인터페이스목록" sheetId="30" r:id="rId3"/>
    <sheet name="인터페이스정의서" sheetId="31" r:id="rId4"/>
  </sheets>
  <externalReferences>
    <externalReference r:id="rId5"/>
  </externalReferences>
  <definedNames>
    <definedName name="_xlnm._FilterDatabase" localSheetId="2" hidden="1">인터페이스목록!$A$4:$Z$33</definedName>
    <definedName name="_xlnm._FilterDatabase" localSheetId="3" hidden="1">인터페이스정의서!$A$2:$M$399</definedName>
    <definedName name="PEG가격유형코드">[1]항목별참고값!$AD$2:$AD$5</definedName>
    <definedName name="_xlnm.Print_Area" localSheetId="2">인터페이스목록!$B$1:$Z$33</definedName>
    <definedName name="_xlnm.Print_Area" localSheetId="3">인터페이스정의서!$A$1:$K$2</definedName>
    <definedName name="_xlnm.Print_Titles" localSheetId="1">'변경이력(FTP)'!$1:$8</definedName>
    <definedName name="_xlnm.Print_Titles" localSheetId="3">인터페이스정의서!#REF!</definedName>
    <definedName name="REPO분류코드">[1]항목별참고값!$AQ$2:$AQ$5</definedName>
    <definedName name="Repo호가">[1]항목별참고값!$A$7</definedName>
    <definedName name="testtest" localSheetId="1">#REF!</definedName>
    <definedName name="testtest" localSheetId="2">#REF!</definedName>
    <definedName name="testtest" localSheetId="3">#REF!</definedName>
    <definedName name="testtest">#REF!</definedName>
    <definedName name="거래정지발생유형코드">[1]항목별참고값!$P$2:$P$9</definedName>
    <definedName name="계좌구분코드">[1]항목별참고값!$Y$2:$Y$20</definedName>
    <definedName name="계좌증거금유형코드">[1]항목별참고값!$AL$2:$AL$8</definedName>
    <definedName name="국가코드">[1]항목별참고값!$AM$2:$AM$5</definedName>
    <definedName name="매도매수구분코드">[1]항목별참고값!$T$2:$T$5</definedName>
    <definedName name="매도유형코드">[1]항목별참고값!$AI$2:$AI$6</definedName>
    <definedName name="보드ID">[1]항목별참고값!$D$2:$D$24</definedName>
    <definedName name="보드이벤트ID">[1]항목별참고값!$F$2:$F$69</definedName>
    <definedName name="보드이벤트장운영종류코드">[1]항목별참고값!$K$2:$K$6</definedName>
    <definedName name="보드이벤트적용군관계코드">[1]항목별참고값!$I$2:$I$4</definedName>
    <definedName name="보드이벤트종류코드">[1]항목별참고값!$J$2:$J$24</definedName>
    <definedName name="복합호가">[1]항목별참고값!$A$4</definedName>
    <definedName name="상품ID">[1]항목별참고값!$O$2:$O$100</definedName>
    <definedName name="세션ID">[1]항목별참고값!$N$2:$N$19</definedName>
    <definedName name="세션개시종료코드">[1]항목별참고값!$M$2:$M$8</definedName>
    <definedName name="수신IF유형코드">[1]항목별참고값!$S$2:$S$4</definedName>
    <definedName name="시가종가산출코드">[1]항목별참고값!$L$2:$L$4</definedName>
    <definedName name="시장ID">[1]항목별참고값!$C$2:$C$9</definedName>
    <definedName name="여부">[1]항목별참고값!$AE$2:$AE$4</definedName>
    <definedName name="외국인투자자구분코드">[1]항목별참고값!$AN$2:$AN$9</definedName>
    <definedName name="위탁자기구분코드">[1]항목별참고값!$X$2:$X$9</definedName>
    <definedName name="입력데이터종류">[1]항목별참고값!$A$2:$A$7</definedName>
    <definedName name="자동취소처리구분코드">[1]항목별참고값!$R$2:$R$5</definedName>
    <definedName name="장운영">[1]항목별참고값!$A$2</definedName>
    <definedName name="장운영상품그룹ID">[1]항목별참고값!$E$2:$E$24</definedName>
    <definedName name="정정취소구분코드">[1]항목별참고값!$U$2:$U$5</definedName>
    <definedName name="주문매체구분코드">[1]항목별참고값!$AB$2:$AB$8</definedName>
    <definedName name="채권일반호가">[1]항목별참고값!$A$5</definedName>
    <definedName name="채권조성호가">[1]항목별참고값!$A$6</definedName>
    <definedName name="채권호가종류코드">[1]항목별참고값!$AC$2:$AC$4</definedName>
    <definedName name="테이블목록범위" localSheetId="1">#REF!</definedName>
    <definedName name="테이블목록범위" localSheetId="2">#REF!</definedName>
    <definedName name="테이블목록범위" localSheetId="3">#REF!</definedName>
    <definedName name="테이블목록범위">#REF!</definedName>
    <definedName name="테이블목록범위2" localSheetId="1">#REF!</definedName>
    <definedName name="테이블목록범위2" localSheetId="2">#REF!</definedName>
    <definedName name="테이블목록범위2" localSheetId="3">#REF!</definedName>
    <definedName name="테이블목록범위2">#REF!</definedName>
    <definedName name="투자자구분코드">[1]항목별참고값!$Z$2:$Z$12</definedName>
    <definedName name="프로그램호가신고구분코드">[1]항목별참고값!$AO$2:$AO$5</definedName>
    <definedName name="호가">[1]항목별참고값!$A$3</definedName>
    <definedName name="호가유형코드">[1]항목별참고값!$V$2:$V$12</definedName>
    <definedName name="호가일자">[1]항목별참고값!$AA$2</definedName>
    <definedName name="호가조건코드">[1]항목별참고값!$W$2:$W$10</definedName>
    <definedName name="효력정지재개구분코드">[1]항목별참고값!$AP$2:$AP$7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30" l="1"/>
  <c r="A7" i="30"/>
  <c r="A8" i="30"/>
  <c r="A9" i="30"/>
  <c r="A10" i="30"/>
  <c r="A11" i="30"/>
  <c r="A12" i="30"/>
  <c r="A13" i="30"/>
  <c r="A14" i="30"/>
  <c r="A15" i="30"/>
  <c r="A16" i="30"/>
  <c r="A17" i="30"/>
  <c r="A18" i="30"/>
  <c r="A19" i="30"/>
  <c r="A20" i="30"/>
  <c r="A21" i="30"/>
  <c r="A22" i="30"/>
  <c r="A23" i="30"/>
  <c r="A24" i="30"/>
  <c r="A25" i="30"/>
  <c r="A26" i="30"/>
  <c r="A27" i="30"/>
  <c r="A28" i="30"/>
  <c r="A29" i="30"/>
  <c r="A30" i="30"/>
  <c r="A31" i="30"/>
  <c r="A32" i="30"/>
  <c r="A33" i="30"/>
  <c r="A5" i="30"/>
  <c r="B26" i="30"/>
  <c r="B10" i="30"/>
  <c r="B25" i="30"/>
  <c r="B9" i="30"/>
  <c r="B20" i="30"/>
  <c r="B27" i="30"/>
  <c r="B11" i="30"/>
  <c r="B14" i="30"/>
  <c r="B29" i="30"/>
  <c r="B22" i="30"/>
  <c r="B6" i="30"/>
  <c r="B21" i="30"/>
  <c r="B31" i="30"/>
  <c r="B16" i="30"/>
  <c r="B23" i="30"/>
  <c r="B7" i="30"/>
  <c r="B17" i="30"/>
  <c r="B28" i="30"/>
  <c r="B12" i="30"/>
  <c r="B19" i="30"/>
  <c r="B5" i="30"/>
  <c r="B30" i="30"/>
  <c r="B13" i="30"/>
  <c r="B8" i="30"/>
  <c r="B15" i="30"/>
  <c r="B33" i="30"/>
  <c r="B18" i="30"/>
  <c r="B32" i="30"/>
  <c r="B24" i="30"/>
  <c r="AA24" i="30" l="1"/>
  <c r="AA15" i="30"/>
  <c r="AA5" i="30"/>
  <c r="AA17" i="30"/>
  <c r="AA31" i="30"/>
  <c r="AA29" i="30"/>
  <c r="AA20" i="30"/>
  <c r="AA26" i="30"/>
  <c r="AA27" i="30"/>
  <c r="AA32" i="30"/>
  <c r="AA8" i="30"/>
  <c r="AA19" i="30"/>
  <c r="AA7" i="30"/>
  <c r="AA21" i="30"/>
  <c r="AA14" i="30"/>
  <c r="AA9" i="30"/>
  <c r="AA6" i="30"/>
  <c r="AA11" i="30"/>
  <c r="AA25" i="30"/>
  <c r="AA30" i="30"/>
  <c r="AA28" i="30"/>
  <c r="AA22" i="30"/>
  <c r="AA18" i="30"/>
  <c r="AA13" i="30"/>
  <c r="AA12" i="30"/>
  <c r="AA23" i="30"/>
  <c r="AA33" i="30"/>
  <c r="AA16" i="30"/>
  <c r="AA10" i="30"/>
</calcChain>
</file>

<file path=xl/sharedStrings.xml><?xml version="1.0" encoding="utf-8"?>
<sst xmlns="http://schemas.openxmlformats.org/spreadsheetml/2006/main" count="2543" uniqueCount="313">
  <si>
    <t>인터페이스 변경이력</t>
    <phoneticPr fontId="4" type="noConversion"/>
  </si>
  <si>
    <t>버전</t>
    <phoneticPr fontId="4" type="noConversion"/>
  </si>
  <si>
    <t>날짜</t>
  </si>
  <si>
    <t>변경내용</t>
  </si>
  <si>
    <t>정보상품</t>
    <phoneticPr fontId="4" type="noConversion"/>
  </si>
  <si>
    <t>비고</t>
  </si>
  <si>
    <t>1.00</t>
    <phoneticPr fontId="4" type="noConversion"/>
  </si>
  <si>
    <t>□ 최초작성</t>
    <phoneticPr fontId="4" type="noConversion"/>
  </si>
  <si>
    <t>지수별송신처 - 지수ID, 표준코드 공란(TBD)은 추후 공지 예정</t>
    <phoneticPr fontId="2" type="noConversion"/>
  </si>
  <si>
    <t>1.01</t>
    <phoneticPr fontId="4" type="noConversion"/>
  </si>
  <si>
    <t>□ 항목 길이 조정
□ 항목명 수정
□ 지수별송신처 - 지수ID, 표준코드 추가</t>
    <phoneticPr fontId="4" type="noConversion"/>
  </si>
  <si>
    <t>1.02</t>
    <phoneticPr fontId="4" type="noConversion"/>
  </si>
  <si>
    <t>□ 인터페이스목록 - 채권지수, 글로벌지수, 한대만IT프리미어지수, ELW투자지표 TR코드 수정
□ IA000, IB000, J2000, Z5000, Z4000 필러 추가
□ 100M 상품 미가동에 대한 변경 : 송신채널정보 삭제
 - 미가동 상품 : 증권A, 증권B, 증권C
 ※ 일부가동 상품(부산만 제공) : 파생A, 파생B
□ 소수점자리수: 데이터에 소수점 포함인 경우 0으로 하고 비고에 데이터형태 표시, 포함되지 않는 경우 소수점자리수 표시
□ 인터넷(TCP) 시세상품별 송신채널정보 탭 추가
□ IFMIBAT1035 Filler추가</t>
    <phoneticPr fontId="4" type="noConversion"/>
  </si>
  <si>
    <t>1.03</t>
    <phoneticPr fontId="4" type="noConversion"/>
  </si>
  <si>
    <t>□ 소수점표현 정보분배 접속표준서 형태로 정리
□ 신규 지수 추가</t>
    <phoneticPr fontId="4" type="noConversion"/>
  </si>
  <si>
    <t>1.04</t>
    <phoneticPr fontId="4" type="noConversion"/>
  </si>
  <si>
    <t>□ 지수ID 변경 (지수별송신처(IP_PORT매핑) 지수ID 부분에 노란색으로 표시)
□ KTB채권지수 항목명 지수ID-&gt;채권지수ID로 변경 (채권지수ID는 지수ID체계를 따르지 않음)
□ 지수별송신처(IP_PORT매핑) 탭에 기존 TR코드 추가</t>
    <phoneticPr fontId="4" type="noConversion"/>
  </si>
  <si>
    <t>1.05</t>
    <phoneticPr fontId="4" type="noConversion"/>
  </si>
  <si>
    <t>□ 지수별송신처(FTP종가) 탭 삭제
- 코드값모음집 - 상품별 지수목록 (FTP종가) 에 상품별 지수 제공</t>
    <phoneticPr fontId="2" type="noConversion"/>
  </si>
  <si>
    <t>1.06</t>
    <phoneticPr fontId="4" type="noConversion"/>
  </si>
  <si>
    <t>□ 인터페이스목록 - 주식파생대상종목시세 12M/100M 통합
□ 인터페이스정의서 - 정의 수정</t>
    <phoneticPr fontId="2" type="noConversion"/>
  </si>
  <si>
    <t>변경내역 노란색 음영 표시</t>
    <phoneticPr fontId="2" type="noConversion"/>
  </si>
  <si>
    <t>1.07</t>
    <phoneticPr fontId="4" type="noConversion"/>
  </si>
  <si>
    <t>□ 인터페이스목록, 인터페이스 정의서
- IFMIBAT1034 (MPBJC100) 삭제
□ FTP종가 파일 - 데이터구분값 정의 수정</t>
    <phoneticPr fontId="2" type="noConversion"/>
  </si>
  <si>
    <t>인터페이스 ID
(링크)</t>
    <phoneticPr fontId="7" type="noConversion"/>
  </si>
  <si>
    <t>인터페이스 명
(전문명)</t>
    <phoneticPr fontId="7" type="noConversion"/>
  </si>
  <si>
    <t>송수신
방법</t>
    <phoneticPr fontId="7" type="noConversion"/>
  </si>
  <si>
    <t>업무 상세 내용</t>
    <phoneticPr fontId="7" type="noConversion"/>
  </si>
  <si>
    <t xml:space="preserve">제공 주기  </t>
    <phoneticPr fontId="7" type="noConversion"/>
  </si>
  <si>
    <t>TR-CODE</t>
    <phoneticPr fontId="7" type="noConversion"/>
  </si>
  <si>
    <t>온라인
배치
구분</t>
    <phoneticPr fontId="7" type="noConversion"/>
  </si>
  <si>
    <t>시장구분</t>
    <phoneticPr fontId="7" type="noConversion"/>
  </si>
  <si>
    <t>길이</t>
    <phoneticPr fontId="7" type="noConversion"/>
  </si>
  <si>
    <t>비고</t>
    <phoneticPr fontId="7" type="noConversion"/>
  </si>
  <si>
    <t>인터페이스 정의서</t>
    <phoneticPr fontId="2" type="noConversion"/>
  </si>
  <si>
    <t>Information Products</t>
    <phoneticPr fontId="7" type="noConversion"/>
  </si>
  <si>
    <t>회원사/정보이용사</t>
    <phoneticPr fontId="7" type="noConversion"/>
  </si>
  <si>
    <r>
      <t>증권A/</t>
    </r>
    <r>
      <rPr>
        <sz val="8"/>
        <color rgb="FFFF0000"/>
        <rFont val="맑은 고딕"/>
        <family val="3"/>
        <charset val="129"/>
        <scheme val="minor"/>
      </rPr>
      <t>100M</t>
    </r>
    <r>
      <rPr>
        <sz val="8"/>
        <rFont val="맑은 고딕"/>
        <family val="3"/>
        <charset val="129"/>
        <scheme val="minor"/>
      </rPr>
      <t>·12M</t>
    </r>
    <phoneticPr fontId="7" type="noConversion"/>
  </si>
  <si>
    <t>증권A/128K</t>
    <phoneticPr fontId="7" type="noConversion"/>
  </si>
  <si>
    <r>
      <t>주식파생대상종목시세/</t>
    </r>
    <r>
      <rPr>
        <sz val="8"/>
        <color rgb="FFFF0000"/>
        <rFont val="맑은 고딕"/>
        <family val="3"/>
        <charset val="129"/>
        <scheme val="minor"/>
      </rPr>
      <t>100M</t>
    </r>
    <r>
      <rPr>
        <sz val="8"/>
        <rFont val="맑은 고딕"/>
        <family val="3"/>
        <charset val="129"/>
        <scheme val="minor"/>
      </rPr>
      <t>·12M</t>
    </r>
    <phoneticPr fontId="7" type="noConversion"/>
  </si>
  <si>
    <r>
      <t>증권B/</t>
    </r>
    <r>
      <rPr>
        <sz val="8"/>
        <color rgb="FFFF0000"/>
        <rFont val="맑은 고딕"/>
        <family val="3"/>
        <charset val="129"/>
        <scheme val="minor"/>
      </rPr>
      <t>100M</t>
    </r>
    <r>
      <rPr>
        <sz val="8"/>
        <rFont val="맑은 고딕"/>
        <family val="3"/>
        <charset val="129"/>
        <scheme val="minor"/>
      </rPr>
      <t>·12M</t>
    </r>
    <phoneticPr fontId="7" type="noConversion"/>
  </si>
  <si>
    <t>증권B/128K</t>
    <phoneticPr fontId="7" type="noConversion"/>
  </si>
  <si>
    <r>
      <t>증권C/</t>
    </r>
    <r>
      <rPr>
        <sz val="8"/>
        <color rgb="FFFF0000"/>
        <rFont val="맑은 고딕"/>
        <family val="3"/>
        <charset val="129"/>
        <scheme val="minor"/>
      </rPr>
      <t>100M</t>
    </r>
    <r>
      <rPr>
        <sz val="8"/>
        <rFont val="맑은 고딕"/>
        <family val="3"/>
        <charset val="129"/>
        <scheme val="minor"/>
      </rPr>
      <t>·12M(ELW회선)</t>
    </r>
    <phoneticPr fontId="7" type="noConversion"/>
  </si>
  <si>
    <t>채권A/8M</t>
    <phoneticPr fontId="7" type="noConversion"/>
  </si>
  <si>
    <t>채권A/512K</t>
    <phoneticPr fontId="7" type="noConversion"/>
  </si>
  <si>
    <t>채권A/128K</t>
    <phoneticPr fontId="7" type="noConversion"/>
  </si>
  <si>
    <t>일반상품/100M·12M</t>
    <phoneticPr fontId="7" type="noConversion"/>
  </si>
  <si>
    <t>그룹1(지수상품1)</t>
    <phoneticPr fontId="7" type="noConversion"/>
  </si>
  <si>
    <t>그룹2(지수상품2)</t>
    <phoneticPr fontId="7" type="noConversion"/>
  </si>
  <si>
    <t>그룹3(지수상품3)</t>
    <phoneticPr fontId="7" type="noConversion"/>
  </si>
  <si>
    <t>인터넷분배</t>
    <phoneticPr fontId="7" type="noConversion"/>
  </si>
  <si>
    <t>레버리지지수종가</t>
    <phoneticPr fontId="7" type="noConversion"/>
  </si>
  <si>
    <t>SFTP</t>
    <phoneticPr fontId="7" type="noConversion"/>
  </si>
  <si>
    <t>레버리지 KOSPI200 지수</t>
    <phoneticPr fontId="7" type="noConversion"/>
  </si>
  <si>
    <t>MPBJC014</t>
    <phoneticPr fontId="7" type="noConversion"/>
  </si>
  <si>
    <t>B</t>
    <phoneticPr fontId="7" type="noConversion"/>
  </si>
  <si>
    <t>ALL</t>
    <phoneticPr fontId="7" type="noConversion"/>
  </si>
  <si>
    <t>●</t>
  </si>
  <si>
    <t>코드값모음집_차세대 - 상품별 지수목록(FTP종가) 참고</t>
    <phoneticPr fontId="7" type="noConversion"/>
  </si>
  <si>
    <t>IFMIBAT1003</t>
  </si>
  <si>
    <t>KRX지수 현물 정규장</t>
    <phoneticPr fontId="7" type="noConversion"/>
  </si>
  <si>
    <t>KRX1차현물지수종가파일(KRX지수정보 FTP상품화)</t>
    <phoneticPr fontId="7" type="noConversion"/>
  </si>
  <si>
    <t>MPBJC029</t>
    <phoneticPr fontId="7" type="noConversion"/>
  </si>
  <si>
    <t>IFMIBAT1004</t>
  </si>
  <si>
    <t>KRX지수 레버리지지수</t>
    <phoneticPr fontId="7" type="noConversion"/>
  </si>
  <si>
    <t>레버리지 KOSPI200 지수(KRX지수정보 FTP상품화)</t>
    <phoneticPr fontId="7" type="noConversion"/>
  </si>
  <si>
    <t>MPBJC031</t>
    <phoneticPr fontId="7" type="noConversion"/>
  </si>
  <si>
    <t>IFMIBAT1005</t>
  </si>
  <si>
    <t>KRX지수 특수지수 1차</t>
    <phoneticPr fontId="7" type="noConversion"/>
  </si>
  <si>
    <t>KRX지수 특수지수 1차 종가파일(KRX지수정보 FTP상품화</t>
    <phoneticPr fontId="7" type="noConversion"/>
  </si>
  <si>
    <t>MPBJC039</t>
    <phoneticPr fontId="7" type="noConversion"/>
  </si>
  <si>
    <t>IFMIBAT1006</t>
  </si>
  <si>
    <t>KRX지수 배당관련지수 1차</t>
    <phoneticPr fontId="7" type="noConversion"/>
  </si>
  <si>
    <t>KRX지수 배당관련지수 1차 종가파일(KRX지수정보 FTP상품화</t>
    <phoneticPr fontId="7" type="noConversion"/>
  </si>
  <si>
    <t>MPBJC042</t>
    <phoneticPr fontId="7" type="noConversion"/>
  </si>
  <si>
    <t>IFMIBAT1007</t>
  </si>
  <si>
    <t>금현물지수</t>
    <phoneticPr fontId="7" type="noConversion"/>
  </si>
  <si>
    <t>KRX_금현물지수종가</t>
    <phoneticPr fontId="7" type="noConversion"/>
  </si>
  <si>
    <t>MPBJC046</t>
    <phoneticPr fontId="7" type="noConversion"/>
  </si>
  <si>
    <t>IFMIBAT1009</t>
  </si>
  <si>
    <t>KRX지수 현물 전체장</t>
    <phoneticPr fontId="7" type="noConversion"/>
  </si>
  <si>
    <t>KRX2차현물지수종가파일(KRX지수정보 FTP상품화)</t>
    <phoneticPr fontId="7" type="noConversion"/>
  </si>
  <si>
    <t>MPBJC030</t>
    <phoneticPr fontId="7" type="noConversion"/>
  </si>
  <si>
    <t>IFMIBAT1012</t>
  </si>
  <si>
    <t>KRX지수 특수지수 2차</t>
    <phoneticPr fontId="7" type="noConversion"/>
  </si>
  <si>
    <t>KRX지수 특수지수 2차 종가파일(KRX지수정보 FTP상품화</t>
    <phoneticPr fontId="7" type="noConversion"/>
  </si>
  <si>
    <t>MPBJC040</t>
    <phoneticPr fontId="7" type="noConversion"/>
  </si>
  <si>
    <t>IFMIBAT1013</t>
  </si>
  <si>
    <t>KRX지수 배당관련지수 2차</t>
    <phoneticPr fontId="7" type="noConversion"/>
  </si>
  <si>
    <t>KRX지수 배당관련지수 2차 종가파일(KRX지수정보 FTP상품화</t>
    <phoneticPr fontId="7" type="noConversion"/>
  </si>
  <si>
    <t>MPBJC043</t>
    <phoneticPr fontId="7" type="noConversion"/>
  </si>
  <si>
    <t>IFMIBAT1014</t>
  </si>
  <si>
    <t>KRX지수 파생</t>
    <phoneticPr fontId="7" type="noConversion"/>
  </si>
  <si>
    <t>KRX특수지수종가파일(KRX지수정보 FTP상품화)</t>
    <phoneticPr fontId="7" type="noConversion"/>
  </si>
  <si>
    <t>MPBJC032</t>
    <phoneticPr fontId="7" type="noConversion"/>
  </si>
  <si>
    <t>IFMIBAT1017</t>
  </si>
  <si>
    <t>KRX_ETN지수 파생</t>
    <phoneticPr fontId="7" type="noConversion"/>
  </si>
  <si>
    <t>KRX_ETN 특수지수종가파일(KRX지수정보 FTP상품화)</t>
    <phoneticPr fontId="7" type="noConversion"/>
  </si>
  <si>
    <t>MPBJC044</t>
    <phoneticPr fontId="7" type="noConversion"/>
  </si>
  <si>
    <t>IFMIBAT1018</t>
  </si>
  <si>
    <t>코스피옵션양매도지수 종가</t>
    <phoneticPr fontId="7" type="noConversion"/>
  </si>
  <si>
    <t>코스피옵션양매도지수 종가파일</t>
    <phoneticPr fontId="7" type="noConversion"/>
  </si>
  <si>
    <t>MPBJC047</t>
    <phoneticPr fontId="7" type="noConversion"/>
  </si>
  <si>
    <t>IFMIBAT1019</t>
  </si>
  <si>
    <t>지수그룹3 대신증권 FTP종가</t>
    <phoneticPr fontId="7" type="noConversion"/>
  </si>
  <si>
    <t>지수그룹3 대신증권 FTP종가파일</t>
    <phoneticPr fontId="7" type="noConversion"/>
  </si>
  <si>
    <t>MPBJC053</t>
    <phoneticPr fontId="7" type="noConversion"/>
  </si>
  <si>
    <t>IFMIBAT1020</t>
  </si>
  <si>
    <t>지수그룹3 신한금융 FTP종가_x000D_
(한국자산평가,NICE피앤아이)</t>
    <phoneticPr fontId="7" type="noConversion"/>
  </si>
  <si>
    <t>지수그룹3 신한금융 FTP종가파일_x000D_
(한국자산평가,NICE피앤아이)</t>
    <phoneticPr fontId="7" type="noConversion"/>
  </si>
  <si>
    <t>MPBJC054</t>
    <phoneticPr fontId="7" type="noConversion"/>
  </si>
  <si>
    <t>IFMIBAT1021</t>
  </si>
  <si>
    <t>지수그룹3 하나금융투자 FTP종가</t>
    <phoneticPr fontId="7" type="noConversion"/>
  </si>
  <si>
    <t>지수그룹3 하나금융투자 FTP종가파일</t>
    <phoneticPr fontId="7" type="noConversion"/>
  </si>
  <si>
    <t>MPBJC056</t>
    <phoneticPr fontId="7" type="noConversion"/>
  </si>
  <si>
    <t>IFMIBAT1022</t>
  </si>
  <si>
    <t>지수그룹3 NH투자증권 FTP종가</t>
    <phoneticPr fontId="7" type="noConversion"/>
  </si>
  <si>
    <t>지수그룹3 NH투자증권 FTP종가파일</t>
    <phoneticPr fontId="7" type="noConversion"/>
  </si>
  <si>
    <t>MPBJC057</t>
    <phoneticPr fontId="7" type="noConversion"/>
  </si>
  <si>
    <t>IFMIBAT1023</t>
  </si>
  <si>
    <t>지수그룹3 KB FTP종가</t>
    <phoneticPr fontId="7" type="noConversion"/>
  </si>
  <si>
    <t>지수그룹3 KB FTP종가파일</t>
    <phoneticPr fontId="7" type="noConversion"/>
  </si>
  <si>
    <t>MPBJC060</t>
    <phoneticPr fontId="7" type="noConversion"/>
  </si>
  <si>
    <t>IFMIBAT1024</t>
  </si>
  <si>
    <t>지수그룹3 미래에셋 FTP종가</t>
    <phoneticPr fontId="7" type="noConversion"/>
  </si>
  <si>
    <t>지수그룹3 미래에셋 FTP종가파일</t>
    <phoneticPr fontId="7" type="noConversion"/>
  </si>
  <si>
    <t>MPBJC061</t>
    <phoneticPr fontId="7" type="noConversion"/>
  </si>
  <si>
    <t>IFMIBAT1025</t>
  </si>
  <si>
    <t>글로벌지수_Exchange지수</t>
    <phoneticPr fontId="7" type="noConversion"/>
  </si>
  <si>
    <t>MPBJC033</t>
    <phoneticPr fontId="7" type="noConversion"/>
  </si>
  <si>
    <t>IFMIBAT1026</t>
  </si>
  <si>
    <t>글로벌지수_Asia100+Exchange지수</t>
    <phoneticPr fontId="7" type="noConversion"/>
  </si>
  <si>
    <t>MPBJC034</t>
    <phoneticPr fontId="7" type="noConversion"/>
  </si>
  <si>
    <t>IFMIBAT1027</t>
  </si>
  <si>
    <t>KTB지수 최종종가_FTP종가</t>
    <phoneticPr fontId="7" type="noConversion"/>
  </si>
  <si>
    <t>KTB지수_FTP종가</t>
    <phoneticPr fontId="7" type="noConversion"/>
  </si>
  <si>
    <t>MPBJC035</t>
    <phoneticPr fontId="7" type="noConversion"/>
  </si>
  <si>
    <t>IFMIBAT1028</t>
  </si>
  <si>
    <t>프라임지수 최종종가_FTP종가</t>
  </si>
  <si>
    <t>프라임지수 최종종가_FTP종가
파일 생성 후 MPBJC013_1 + MPBJC035 파일 병합 후 전송</t>
    <phoneticPr fontId="7" type="noConversion"/>
  </si>
  <si>
    <t>IFMIBAT1029</t>
  </si>
  <si>
    <t>커스텀지수 FTP종가</t>
    <phoneticPr fontId="7" type="noConversion"/>
  </si>
  <si>
    <t>MPBJC048</t>
    <phoneticPr fontId="7" type="noConversion"/>
  </si>
  <si>
    <t>IFMIBAT1030</t>
  </si>
  <si>
    <t>커스텀지수 부가정보 FTP종가_x000D_
(예탁원,한국자산평가, NICE피앤아이)</t>
    <phoneticPr fontId="7" type="noConversion"/>
  </si>
  <si>
    <t>MPBJC055</t>
    <phoneticPr fontId="7" type="noConversion"/>
  </si>
  <si>
    <t>IFMIBAT1031</t>
  </si>
  <si>
    <t>한ㆍ대만 IT프리미어지수 FTP종가</t>
    <phoneticPr fontId="7" type="noConversion"/>
  </si>
  <si>
    <t>한ㆍ대만 IT프리미어지수 FTP종가
FIA_ID_EmKrTwITPrmIdx +
럄_id_CbGnNewDealIdx 파일 머지 후 전송</t>
    <phoneticPr fontId="7" type="noConversion"/>
  </si>
  <si>
    <t>MPBJC049</t>
    <phoneticPr fontId="7" type="noConversion"/>
  </si>
  <si>
    <t>IFMIBAT1032</t>
  </si>
  <si>
    <t>한ㆍ대만 IT프리미어지수 휴일 FTP종가</t>
    <phoneticPr fontId="7" type="noConversion"/>
  </si>
  <si>
    <t>한ㆍ대만 IT프리미어지수 휴일 FTP종가
FIA_ID_KorTwnITPrmIdx 파일 bypass</t>
    <phoneticPr fontId="7" type="noConversion"/>
  </si>
  <si>
    <t>MPBJC050</t>
    <phoneticPr fontId="7" type="noConversion"/>
  </si>
  <si>
    <t>IFMIBAT1033</t>
  </si>
  <si>
    <t>KTB지수_FTP종가 (예탁원)</t>
    <phoneticPr fontId="7" type="noConversion"/>
  </si>
  <si>
    <t>MPBJC013_1</t>
    <phoneticPr fontId="7" type="noConversion"/>
  </si>
  <si>
    <t>IFMIBAT1035</t>
  </si>
  <si>
    <t>KRX통합USD지수</t>
    <phoneticPr fontId="7" type="noConversion"/>
  </si>
  <si>
    <t>SFTP</t>
  </si>
  <si>
    <t>KRX 한중공동지수 USD 3종</t>
    <phoneticPr fontId="7" type="noConversion"/>
  </si>
  <si>
    <t>MPBJC064</t>
    <phoneticPr fontId="7" type="noConversion"/>
  </si>
  <si>
    <t>B</t>
  </si>
  <si>
    <t>IFMIBAT1036</t>
    <phoneticPr fontId="7" type="noConversion"/>
  </si>
  <si>
    <t>한중공동지수종가</t>
    <phoneticPr fontId="7" type="noConversion"/>
  </si>
  <si>
    <t>KRX CSI 한중공동지수 3종</t>
    <phoneticPr fontId="7" type="noConversion"/>
  </si>
  <si>
    <t>MPBJC065</t>
    <phoneticPr fontId="7" type="noConversion"/>
  </si>
  <si>
    <t>IFMIBAT1037</t>
    <phoneticPr fontId="7" type="noConversion"/>
  </si>
  <si>
    <t>인터페이스ID</t>
    <phoneticPr fontId="11" type="noConversion"/>
  </si>
  <si>
    <t>인터페이스명</t>
    <phoneticPr fontId="11" type="noConversion"/>
  </si>
  <si>
    <t>순번</t>
    <phoneticPr fontId="11" type="noConversion"/>
  </si>
  <si>
    <t>항목명</t>
  </si>
  <si>
    <t>소수점 이하 자릿수</t>
    <phoneticPr fontId="11" type="noConversion"/>
  </si>
  <si>
    <t>자료형</t>
    <phoneticPr fontId="2" type="noConversion"/>
  </si>
  <si>
    <t>길이</t>
    <phoneticPr fontId="11" type="noConversion"/>
  </si>
  <si>
    <t>변경 내역</t>
    <phoneticPr fontId="11" type="noConversion"/>
  </si>
  <si>
    <t>기존 길이</t>
    <phoneticPr fontId="11" type="noConversion"/>
  </si>
  <si>
    <t>누적 길이</t>
    <phoneticPr fontId="11" type="noConversion"/>
  </si>
  <si>
    <t>정의</t>
  </si>
  <si>
    <t>정보
이용사</t>
    <phoneticPr fontId="11" type="noConversion"/>
  </si>
  <si>
    <t>IFMIBAT1003</t>
    <phoneticPr fontId="11" type="noConversion"/>
  </si>
  <si>
    <t>레버리지지수종가</t>
  </si>
  <si>
    <t>데이터구분값</t>
  </si>
  <si>
    <t>String</t>
  </si>
  <si>
    <t>A5</t>
    <phoneticPr fontId="11" type="noConversion"/>
  </si>
  <si>
    <t>시장지수구분코드</t>
  </si>
  <si>
    <t>일련번호</t>
  </si>
  <si>
    <t>Int</t>
  </si>
  <si>
    <t>영업일자</t>
  </si>
  <si>
    <t>지수ID</t>
  </si>
  <si>
    <t>신규</t>
    <phoneticPr fontId="11" type="noConversion"/>
  </si>
  <si>
    <t>6자리 체계의 지수ID</t>
  </si>
  <si>
    <t>단순주가평균</t>
  </si>
  <si>
    <t>가중주가평균</t>
  </si>
  <si>
    <t>시가지수</t>
    <phoneticPr fontId="2" type="noConversion"/>
  </si>
  <si>
    <t>Double</t>
  </si>
  <si>
    <t>9(6)V9(2)</t>
    <phoneticPr fontId="2" type="noConversion"/>
  </si>
  <si>
    <t>고가지수</t>
  </si>
  <si>
    <t>저가지수</t>
  </si>
  <si>
    <t>종가지수</t>
  </si>
  <si>
    <t>전일지수</t>
  </si>
  <si>
    <t>체결수량</t>
  </si>
  <si>
    <t>누적거래대금</t>
  </si>
  <si>
    <t>Long</t>
  </si>
  <si>
    <t>상장주식수</t>
  </si>
  <si>
    <t>시가총액</t>
  </si>
  <si>
    <t>필러값</t>
    <phoneticPr fontId="2" type="noConversion"/>
  </si>
  <si>
    <t>길이 변경</t>
    <phoneticPr fontId="11" type="noConversion"/>
  </si>
  <si>
    <t>IFMIBAT1004</t>
    <phoneticPr fontId="11" type="noConversion"/>
  </si>
  <si>
    <t>KRX지수 현물 정규장</t>
  </si>
  <si>
    <t>시가지수</t>
  </si>
  <si>
    <t>필러값6</t>
  </si>
  <si>
    <t>IFMIBAT1005</t>
    <phoneticPr fontId="11" type="noConversion"/>
  </si>
  <si>
    <t>KRX지수 레버리지지수</t>
  </si>
  <si>
    <t>IFMIBAT1006</t>
    <phoneticPr fontId="11" type="noConversion"/>
  </si>
  <si>
    <t>KRX지수 특수지수 1차</t>
  </si>
  <si>
    <t>IFMIBAT1007</t>
    <phoneticPr fontId="11" type="noConversion"/>
  </si>
  <si>
    <t>KRX지수 배당관련지수 1차</t>
  </si>
  <si>
    <t>IFMIBAT1009</t>
    <phoneticPr fontId="11" type="noConversion"/>
  </si>
  <si>
    <t>금현물지수</t>
  </si>
  <si>
    <t>IFMIBAT1012</t>
    <phoneticPr fontId="11" type="noConversion"/>
  </si>
  <si>
    <t>KRX지수 현물 전체장</t>
  </si>
  <si>
    <t>IFMIBAT1013</t>
    <phoneticPr fontId="11" type="noConversion"/>
  </si>
  <si>
    <t>KRX지수 특수지수 2차</t>
  </si>
  <si>
    <t>IFMIBAT1014</t>
    <phoneticPr fontId="11" type="noConversion"/>
  </si>
  <si>
    <t>KRX지수 배당관련지수 2차</t>
  </si>
  <si>
    <t>IFMIBAT1017</t>
    <phoneticPr fontId="11" type="noConversion"/>
  </si>
  <si>
    <t>KRX지수 파생</t>
  </si>
  <si>
    <t>IFMIBAT1018</t>
    <phoneticPr fontId="11" type="noConversion"/>
  </si>
  <si>
    <t>KRX_ETN지수 파생</t>
  </si>
  <si>
    <t>IFMIBAT1019</t>
    <phoneticPr fontId="11" type="noConversion"/>
  </si>
  <si>
    <t>코스피옵션양매도지수 종가</t>
  </si>
  <si>
    <t>IFMIBAT1020</t>
    <phoneticPr fontId="11" type="noConversion"/>
  </si>
  <si>
    <t>지수그룹3 대신증권 FTP종가</t>
  </si>
  <si>
    <t>IFMIBAT1021</t>
    <phoneticPr fontId="11" type="noConversion"/>
  </si>
  <si>
    <t>지수그룹3 신한금융 FTP종가_x000D_
(한국자산평가,NICE피앤아이)</t>
  </si>
  <si>
    <t>IFMIBAT1022</t>
    <phoneticPr fontId="11" type="noConversion"/>
  </si>
  <si>
    <t>지수그룹3 하나금융투자 FTP종가</t>
  </si>
  <si>
    <t>IFMIBAT1023</t>
    <phoneticPr fontId="11" type="noConversion"/>
  </si>
  <si>
    <t>지수그룹3 NH투자증권 FTP종가</t>
  </si>
  <si>
    <t>IFMIBAT1024</t>
    <phoneticPr fontId="11" type="noConversion"/>
  </si>
  <si>
    <t>지수그룹3 KB FTP종가</t>
  </si>
  <si>
    <t>IFMIBAT1025</t>
    <phoneticPr fontId="11" type="noConversion"/>
  </si>
  <si>
    <t>지수그룹3 미래에셋 FTP종가</t>
  </si>
  <si>
    <t>IFMIBAT1026</t>
    <phoneticPr fontId="11" type="noConversion"/>
  </si>
  <si>
    <t>글로벌지수_Exchange지수</t>
  </si>
  <si>
    <t>글로벌통화코드</t>
  </si>
  <si>
    <t>IFMIBAT1027</t>
    <phoneticPr fontId="11" type="noConversion"/>
  </si>
  <si>
    <t>글로벌지수_Asia100+Exchange지수</t>
  </si>
  <si>
    <t>IFMIBAT1028</t>
    <phoneticPr fontId="11" type="noConversion"/>
  </si>
  <si>
    <t>KTB지수 최종종가_FTP종가</t>
  </si>
  <si>
    <t>외부채권지수ID</t>
  </si>
  <si>
    <t>기준일자</t>
  </si>
  <si>
    <t>지수산출시각</t>
  </si>
  <si>
    <t>장중:HHMMSS 정규장마감:JUNJJJ 전체장마감:EXTJJJ</t>
  </si>
  <si>
    <t>총수익지수</t>
  </si>
  <si>
    <t>9(6)V9(4)</t>
    <phoneticPr fontId="2" type="noConversion"/>
  </si>
  <si>
    <t>순가격지수</t>
  </si>
  <si>
    <t>시장가격지수</t>
  </si>
  <si>
    <t>콜재투자지수</t>
  </si>
  <si>
    <t>제로재투자지수</t>
  </si>
  <si>
    <t>선물이론가격</t>
  </si>
  <si>
    <t>9(7)V9(2)</t>
    <phoneticPr fontId="2" type="noConversion"/>
  </si>
  <si>
    <t>듀레이션</t>
  </si>
  <si>
    <t>9(3)V9(3)</t>
    <phoneticPr fontId="2" type="noConversion"/>
  </si>
  <si>
    <t>컨벡서티</t>
  </si>
  <si>
    <t>평균수익률</t>
  </si>
  <si>
    <t>평균선도수익률</t>
  </si>
  <si>
    <t>IFMIBAT1029</t>
    <phoneticPr fontId="11" type="noConversion"/>
  </si>
  <si>
    <t>J4</t>
    <phoneticPr fontId="11" type="noConversion"/>
  </si>
  <si>
    <t>정보구분코드</t>
  </si>
  <si>
    <t>산출일자</t>
  </si>
  <si>
    <t>산출시각</t>
  </si>
  <si>
    <t>그룹코드</t>
  </si>
  <si>
    <t>만기코드</t>
  </si>
  <si>
    <t>FLOAT128</t>
  </si>
  <si>
    <t>999999999.999999</t>
    <phoneticPr fontId="2" type="noConversion"/>
  </si>
  <si>
    <t>순가격지수비중</t>
  </si>
  <si>
    <t>총수익지수비중</t>
  </si>
  <si>
    <t>지수합성용순가격지수비중</t>
  </si>
  <si>
    <t>지수합성용총수익지수비중</t>
  </si>
  <si>
    <t>평균듀레이션</t>
  </si>
  <si>
    <t>평균컨벡서티가격</t>
  </si>
  <si>
    <t>송신시각</t>
  </si>
  <si>
    <t>정보분배메세지종료키워드</t>
  </si>
  <si>
    <t>메세지의 마지막을 식별하는 문자 (0XFF)</t>
  </si>
  <si>
    <t>IFMIBAT1030</t>
    <phoneticPr fontId="11" type="noConversion"/>
  </si>
  <si>
    <t>커스텀지수 FTP종가</t>
  </si>
  <si>
    <t>IFMIBAT1031</t>
    <phoneticPr fontId="11" type="noConversion"/>
  </si>
  <si>
    <t>커스텀지수 부가정보 FTP종가_x000D_
(예탁원,한국자산평가, NICE피앤아이)</t>
  </si>
  <si>
    <t>보유현금</t>
  </si>
  <si>
    <t>9(11)V9(5)</t>
    <phoneticPr fontId="2" type="noConversion"/>
  </si>
  <si>
    <t>증거금</t>
  </si>
  <si>
    <t>9(7)V9(5)</t>
    <phoneticPr fontId="2" type="noConversion"/>
  </si>
  <si>
    <t>IFMIBAT1032</t>
    <phoneticPr fontId="11" type="noConversion"/>
  </si>
  <si>
    <t>한ㆍ대만 IT프리미어지수 FTP종가</t>
  </si>
  <si>
    <t>Z5</t>
    <phoneticPr fontId="11" type="noConversion"/>
  </si>
  <si>
    <t>작업일자</t>
  </si>
  <si>
    <t>지수</t>
  </si>
  <si>
    <t>종가구분코드</t>
  </si>
  <si>
    <t>IFMIBAT1033</t>
    <phoneticPr fontId="11" type="noConversion"/>
  </si>
  <si>
    <t>한ㆍ대만 IT프리미어지수 휴일 FTP종가</t>
  </si>
  <si>
    <t>Z4</t>
    <phoneticPr fontId="11" type="noConversion"/>
  </si>
  <si>
    <t>IFMIBAT1035</t>
    <phoneticPr fontId="11" type="noConversion"/>
  </si>
  <si>
    <t>KTB지수_FTP종가 (예탁원)</t>
  </si>
  <si>
    <t>필러값 8</t>
  </si>
  <si>
    <t>KRX통합USD지수</t>
  </si>
  <si>
    <t>단위: 백만원</t>
  </si>
  <si>
    <t>필러값 6</t>
  </si>
  <si>
    <t>한중공동지수종가</t>
  </si>
  <si>
    <t>1:실세
2:기세
3:거래무
4:시가기준가종목의 기세</t>
  </si>
  <si>
    <t>필러값5</t>
  </si>
  <si>
    <t>필러값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</si>
</sst>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(* #,##0_);_(* \(#,##0\);_(* &quot;-&quot;_);_(@_)"/>
  </numFmts>
  <fonts count="23">
    <font>
      <sz val="11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rgb="FF0000FF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8"/>
      <name val="돋움"/>
      <family val="3"/>
      <charset val="129"/>
    </font>
    <font>
      <u/>
      <sz val="9.35"/>
      <color theme="10"/>
      <name val="맑은 고딕"/>
      <family val="3"/>
      <charset val="129"/>
    </font>
    <font>
      <strike/>
      <sz val="8"/>
      <name val="맑은 고딕"/>
      <family val="3"/>
      <charset val="129"/>
      <scheme val="minor"/>
    </font>
    <font>
      <b/>
      <sz val="8"/>
      <name val="맑은 고딕"/>
      <family val="3"/>
      <charset val="129"/>
      <scheme val="minor"/>
    </font>
    <font>
      <sz val="9"/>
      <name val="굴림"/>
      <family val="3"/>
      <charset val="129"/>
    </font>
    <font>
      <sz val="10"/>
      <color theme="1"/>
      <name val="맑은 고딕"/>
      <family val="2"/>
      <charset val="129"/>
    </font>
    <font>
      <sz val="11"/>
      <color indexed="8"/>
      <name val="맑은 고딕"/>
      <family val="2"/>
      <scheme val="minor"/>
    </font>
    <font>
      <sz val="11"/>
      <name val="돋움"/>
      <family val="3"/>
      <charset val="129"/>
    </font>
    <font>
      <sz val="8"/>
      <name val="Dotum"/>
      <family val="3"/>
    </font>
    <font>
      <sz val="8"/>
      <color rgb="FFFF0000"/>
      <name val="맑은 고딕"/>
      <family val="3"/>
      <charset val="129"/>
      <scheme val="minor"/>
    </font>
    <font>
      <sz val="8"/>
      <color theme="1"/>
      <name val="나눔고딕코딩"/>
      <family val="3"/>
      <charset val="129"/>
    </font>
    <font>
      <b/>
      <sz val="20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u/>
      <sz val="7.7"/>
      <color theme="10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auto="1"/>
      </top>
      <bottom/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auto="1"/>
      </right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24994659260841701"/>
      </top>
      <bottom style="thin">
        <color auto="1"/>
      </bottom>
      <diagonal/>
    </border>
    <border>
      <left/>
      <right style="thin">
        <color indexed="64"/>
      </right>
      <top style="thin">
        <color theme="0" tint="-0.24994659260841701"/>
      </top>
      <bottom style="thin">
        <color auto="1"/>
      </bottom>
      <diagonal/>
    </border>
  </borders>
  <cellStyleXfs count="23">
    <xf numFmtId="0" fontId="0" fillId="0" borderId="0">
      <alignment vertical="center"/>
    </xf>
    <xf numFmtId="0" fontId="1" fillId="0" borderId="0">
      <alignment vertical="center"/>
    </xf>
    <xf numFmtId="0" fontId="3" fillId="0" borderId="0" applyNumberFormat="0" applyFill="0" applyBorder="0" applyAlignment="0" applyProtection="0">
      <alignment vertical="center"/>
    </xf>
    <xf numFmtId="0" fontId="5" fillId="0" borderId="0">
      <alignment vertical="center"/>
    </xf>
    <xf numFmtId="0" fontId="8" fillId="0" borderId="0" applyNumberFormat="0" applyFill="0" applyBorder="0" applyAlignment="0" applyProtection="0">
      <alignment vertical="top"/>
      <protection locked="0"/>
    </xf>
    <xf numFmtId="0" fontId="12" fillId="0" borderId="0">
      <alignment vertical="center"/>
    </xf>
    <xf numFmtId="0" fontId="13" fillId="0" borderId="0">
      <alignment vertical="center"/>
    </xf>
    <xf numFmtId="0" fontId="14" fillId="0" borderId="0"/>
    <xf numFmtId="0" fontId="14" fillId="0" borderId="0"/>
    <xf numFmtId="0" fontId="14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/>
    <xf numFmtId="0" fontId="14" fillId="0" borderId="0"/>
    <xf numFmtId="176" fontId="1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5" fillId="0" borderId="0">
      <alignment vertical="center"/>
    </xf>
    <xf numFmtId="0" fontId="21" fillId="0" borderId="0"/>
    <xf numFmtId="0" fontId="22" fillId="0" borderId="0" applyNumberFormat="0" applyFill="0" applyBorder="0">
      <protection locked="0"/>
    </xf>
    <xf numFmtId="0" fontId="20" fillId="0" borderId="0">
      <alignment vertical="center"/>
    </xf>
    <xf numFmtId="0" fontId="15" fillId="0" borderId="0" applyNumberFormat="0" applyFill="0" applyBorder="0" applyProtection="0"/>
    <xf numFmtId="0" fontId="8" fillId="0" borderId="0" applyNumberFormat="0" applyFill="0" applyBorder="0">
      <protection locked="0"/>
    </xf>
    <xf numFmtId="0" fontId="22" fillId="0" borderId="0" applyNumberFormat="0" applyFill="0" applyBorder="0" applyAlignment="0" applyProtection="0">
      <alignment vertical="top"/>
      <protection locked="0"/>
    </xf>
    <xf numFmtId="9" fontId="21" fillId="0" borderId="0" applyFont="0" applyFill="0" applyBorder="0" applyAlignment="0" applyProtection="0"/>
  </cellStyleXfs>
  <cellXfs count="78">
    <xf numFmtId="0" fontId="0" fillId="0" borderId="0" xfId="0">
      <alignment vertical="center"/>
    </xf>
    <xf numFmtId="0" fontId="1" fillId="2" borderId="0" xfId="1" applyFill="1">
      <alignment vertical="center"/>
    </xf>
    <xf numFmtId="0" fontId="1" fillId="0" borderId="0" xfId="1">
      <alignment vertical="center"/>
    </xf>
    <xf numFmtId="0" fontId="6" fillId="0" borderId="0" xfId="3" applyFont="1">
      <alignment vertical="center"/>
    </xf>
    <xf numFmtId="0" fontId="6" fillId="0" borderId="0" xfId="3" applyFont="1" applyAlignment="1">
      <alignment horizontal="center" vertical="center"/>
    </xf>
    <xf numFmtId="0" fontId="4" fillId="0" borderId="2" xfId="3" applyFont="1" applyBorder="1" applyAlignment="1">
      <alignment horizontal="left" vertical="center" wrapText="1"/>
    </xf>
    <xf numFmtId="0" fontId="4" fillId="0" borderId="6" xfId="3" applyFont="1" applyBorder="1" applyAlignment="1">
      <alignment vertical="center" wrapText="1"/>
    </xf>
    <xf numFmtId="0" fontId="4" fillId="0" borderId="2" xfId="3" applyFont="1" applyBorder="1" applyAlignment="1">
      <alignment horizontal="center" vertical="center" wrapText="1"/>
    </xf>
    <xf numFmtId="20" fontId="4" fillId="0" borderId="2" xfId="3" applyNumberFormat="1" applyFont="1" applyBorder="1" applyAlignment="1">
      <alignment horizontal="center" vertical="center" wrapText="1"/>
    </xf>
    <xf numFmtId="0" fontId="4" fillId="0" borderId="2" xfId="3" applyFont="1" applyBorder="1" applyAlignment="1">
      <alignment vertical="center" wrapText="1"/>
    </xf>
    <xf numFmtId="0" fontId="6" fillId="0" borderId="2" xfId="3" applyFont="1" applyBorder="1" applyAlignment="1">
      <alignment horizontal="center" vertical="center"/>
    </xf>
    <xf numFmtId="0" fontId="4" fillId="0" borderId="0" xfId="3" applyFont="1" applyAlignment="1">
      <alignment vertical="center" wrapText="1"/>
    </xf>
    <xf numFmtId="0" fontId="4" fillId="0" borderId="1" xfId="4" applyFont="1" applyFill="1" applyBorder="1" applyAlignment="1" applyProtection="1">
      <alignment vertical="center" wrapText="1"/>
    </xf>
    <xf numFmtId="0" fontId="6" fillId="0" borderId="0" xfId="15" applyFont="1" applyAlignment="1">
      <alignment horizontal="center" vertical="center"/>
    </xf>
    <xf numFmtId="0" fontId="6" fillId="0" borderId="0" xfId="15" applyFont="1">
      <alignment vertical="center"/>
    </xf>
    <xf numFmtId="0" fontId="19" fillId="3" borderId="2" xfId="15" applyFont="1" applyFill="1" applyBorder="1" applyAlignment="1">
      <alignment horizontal="center" vertical="center" wrapText="1"/>
    </xf>
    <xf numFmtId="49" fontId="6" fillId="4" borderId="4" xfId="15" applyNumberFormat="1" applyFont="1" applyFill="1" applyBorder="1" applyAlignment="1">
      <alignment horizontal="center" vertical="center"/>
    </xf>
    <xf numFmtId="14" fontId="6" fillId="4" borderId="2" xfId="15" applyNumberFormat="1" applyFont="1" applyFill="1" applyBorder="1" applyAlignment="1">
      <alignment horizontal="center" vertical="center"/>
    </xf>
    <xf numFmtId="0" fontId="6" fillId="4" borderId="2" xfId="15" applyFont="1" applyFill="1" applyBorder="1" applyAlignment="1">
      <alignment vertical="center" wrapText="1"/>
    </xf>
    <xf numFmtId="0" fontId="6" fillId="4" borderId="1" xfId="15" applyFont="1" applyFill="1" applyBorder="1" applyAlignment="1">
      <alignment horizontal="center" vertical="center"/>
    </xf>
    <xf numFmtId="0" fontId="6" fillId="4" borderId="1" xfId="15" applyFont="1" applyFill="1" applyBorder="1" applyAlignment="1">
      <alignment horizontal="left" vertical="center"/>
    </xf>
    <xf numFmtId="0" fontId="9" fillId="0" borderId="3" xfId="3" applyFont="1" applyBorder="1" applyAlignment="1">
      <alignment horizontal="center" vertical="center" wrapText="1"/>
    </xf>
    <xf numFmtId="0" fontId="4" fillId="0" borderId="1" xfId="4" applyFont="1" applyFill="1" applyBorder="1" applyAlignment="1" applyProtection="1">
      <alignment horizontal="center" vertical="center" wrapText="1"/>
    </xf>
    <xf numFmtId="0" fontId="4" fillId="0" borderId="11" xfId="3" applyFont="1" applyBorder="1" applyAlignment="1">
      <alignment horizontal="center" vertical="center" wrapText="1"/>
    </xf>
    <xf numFmtId="0" fontId="4" fillId="0" borderId="0" xfId="3" applyFont="1" applyAlignment="1">
      <alignment horizontal="center" vertical="center"/>
    </xf>
    <xf numFmtId="0" fontId="4" fillId="0" borderId="0" xfId="3" applyFont="1">
      <alignment vertical="center"/>
    </xf>
    <xf numFmtId="0" fontId="4" fillId="0" borderId="0" xfId="3" applyFont="1" applyAlignment="1">
      <alignment horizontal="right" vertical="center"/>
    </xf>
    <xf numFmtId="0" fontId="6" fillId="0" borderId="0" xfId="3" applyFont="1" applyAlignment="1">
      <alignment vertical="center" wrapText="1"/>
    </xf>
    <xf numFmtId="0" fontId="4" fillId="3" borderId="5" xfId="3" applyFont="1" applyFill="1" applyBorder="1" applyAlignment="1">
      <alignment horizontal="center" vertical="top" textRotation="255" wrapText="1"/>
    </xf>
    <xf numFmtId="0" fontId="4" fillId="0" borderId="7" xfId="3" applyFont="1" applyBorder="1" applyAlignment="1">
      <alignment horizontal="center" vertical="center" wrapText="1"/>
    </xf>
    <xf numFmtId="0" fontId="4" fillId="0" borderId="8" xfId="3" quotePrefix="1" applyFont="1" applyBorder="1" applyAlignment="1">
      <alignment horizontal="left" vertical="center" wrapText="1"/>
    </xf>
    <xf numFmtId="0" fontId="4" fillId="0" borderId="7" xfId="3" applyFont="1" applyBorder="1" applyAlignment="1">
      <alignment vertical="center" wrapText="1"/>
    </xf>
    <xf numFmtId="0" fontId="4" fillId="0" borderId="3" xfId="3" applyFont="1" applyBorder="1" applyAlignment="1">
      <alignment horizontal="center" vertical="center" wrapText="1"/>
    </xf>
    <xf numFmtId="0" fontId="4" fillId="0" borderId="0" xfId="3" applyFont="1" applyAlignment="1">
      <alignment horizontal="left" vertical="center" wrapText="1"/>
    </xf>
    <xf numFmtId="0" fontId="10" fillId="3" borderId="7" xfId="3" applyFont="1" applyFill="1" applyBorder="1" applyAlignment="1">
      <alignment horizontal="center" vertical="center" wrapText="1"/>
    </xf>
    <xf numFmtId="0" fontId="4" fillId="0" borderId="0" xfId="3" applyFont="1" applyAlignment="1">
      <alignment horizontal="center" vertical="center" wrapText="1"/>
    </xf>
    <xf numFmtId="0" fontId="8" fillId="0" borderId="0" xfId="4" applyFill="1" applyAlignment="1" applyProtection="1">
      <alignment horizontal="center" vertical="center"/>
    </xf>
    <xf numFmtId="0" fontId="4" fillId="0" borderId="0" xfId="3" applyFont="1" applyAlignment="1">
      <alignment horizontal="left" vertical="center"/>
    </xf>
    <xf numFmtId="49" fontId="4" fillId="0" borderId="0" xfId="3" applyNumberFormat="1" applyFont="1" applyAlignment="1">
      <alignment horizontal="left" vertical="top" wrapText="1"/>
    </xf>
    <xf numFmtId="0" fontId="10" fillId="3" borderId="12" xfId="3" applyFont="1" applyFill="1" applyBorder="1" applyAlignment="1">
      <alignment horizontal="center" vertical="center" wrapText="1"/>
    </xf>
    <xf numFmtId="0" fontId="10" fillId="3" borderId="8" xfId="3" applyFont="1" applyFill="1" applyBorder="1" applyAlignment="1">
      <alignment horizontal="center" vertical="center" wrapText="1"/>
    </xf>
    <xf numFmtId="49" fontId="10" fillId="3" borderId="7" xfId="3" applyNumberFormat="1" applyFont="1" applyFill="1" applyBorder="1" applyAlignment="1">
      <alignment horizontal="center" vertical="center" wrapText="1"/>
    </xf>
    <xf numFmtId="49" fontId="10" fillId="3" borderId="8" xfId="3" applyNumberFormat="1" applyFont="1" applyFill="1" applyBorder="1" applyAlignment="1">
      <alignment horizontal="center" vertical="center" wrapText="1"/>
    </xf>
    <xf numFmtId="0" fontId="4" fillId="0" borderId="14" xfId="3" applyFont="1" applyBorder="1" applyAlignment="1">
      <alignment horizontal="left" vertical="center" wrapText="1"/>
    </xf>
    <xf numFmtId="0" fontId="4" fillId="0" borderId="15" xfId="3" applyFont="1" applyBorder="1" applyAlignment="1">
      <alignment horizontal="left" vertical="center" wrapText="1"/>
    </xf>
    <xf numFmtId="0" fontId="4" fillId="0" borderId="15" xfId="3" applyFont="1" applyBorder="1" applyAlignment="1">
      <alignment horizontal="center" vertical="center"/>
    </xf>
    <xf numFmtId="0" fontId="4" fillId="0" borderId="15" xfId="3" applyFont="1" applyBorder="1" applyAlignment="1">
      <alignment horizontal="left" vertical="center"/>
    </xf>
    <xf numFmtId="0" fontId="4" fillId="0" borderId="16" xfId="3" applyFont="1" applyBorder="1" applyAlignment="1">
      <alignment horizontal="center" vertical="center"/>
    </xf>
    <xf numFmtId="0" fontId="4" fillId="0" borderId="15" xfId="3" applyFont="1" applyBorder="1" applyAlignment="1">
      <alignment horizontal="center" vertical="center" wrapText="1"/>
    </xf>
    <xf numFmtId="49" fontId="4" fillId="0" borderId="15" xfId="3" applyNumberFormat="1" applyFont="1" applyBorder="1" applyAlignment="1">
      <alignment horizontal="left" vertical="top" wrapText="1"/>
    </xf>
    <xf numFmtId="49" fontId="4" fillId="0" borderId="16" xfId="3" applyNumberFormat="1" applyFont="1" applyBorder="1" applyAlignment="1">
      <alignment horizontal="center" vertical="top" wrapText="1"/>
    </xf>
    <xf numFmtId="0" fontId="4" fillId="0" borderId="17" xfId="0" applyFont="1" applyBorder="1" applyAlignment="1">
      <alignment horizontal="center" vertical="top"/>
    </xf>
    <xf numFmtId="0" fontId="4" fillId="0" borderId="17" xfId="0" applyFont="1" applyBorder="1" applyAlignment="1">
      <alignment vertical="top"/>
    </xf>
    <xf numFmtId="49" fontId="4" fillId="0" borderId="15" xfId="3" applyNumberFormat="1" applyFont="1" applyBorder="1" applyAlignment="1">
      <alignment horizontal="left" vertical="center"/>
    </xf>
    <xf numFmtId="0" fontId="4" fillId="0" borderId="16" xfId="3" applyFont="1" applyBorder="1" applyAlignment="1">
      <alignment horizontal="center" vertical="center" wrapText="1"/>
    </xf>
    <xf numFmtId="49" fontId="4" fillId="0" borderId="15" xfId="3" applyNumberFormat="1" applyFont="1" applyBorder="1" applyAlignment="1">
      <alignment horizontal="center" vertical="center" wrapText="1"/>
    </xf>
    <xf numFmtId="0" fontId="4" fillId="0" borderId="18" xfId="3" applyFont="1" applyBorder="1" applyAlignment="1">
      <alignment horizontal="left" vertical="center" wrapText="1"/>
    </xf>
    <xf numFmtId="0" fontId="4" fillId="0" borderId="19" xfId="0" applyFont="1" applyBorder="1" applyAlignment="1">
      <alignment horizontal="center" vertical="top"/>
    </xf>
    <xf numFmtId="0" fontId="4" fillId="0" borderId="19" xfId="0" applyFont="1" applyBorder="1" applyAlignment="1">
      <alignment vertical="top"/>
    </xf>
    <xf numFmtId="0" fontId="4" fillId="0" borderId="20" xfId="3" applyFont="1" applyBorder="1" applyAlignment="1">
      <alignment horizontal="center" vertical="center"/>
    </xf>
    <xf numFmtId="0" fontId="4" fillId="0" borderId="19" xfId="3" applyFont="1" applyBorder="1" applyAlignment="1">
      <alignment horizontal="center" vertical="center" wrapText="1"/>
    </xf>
    <xf numFmtId="0" fontId="4" fillId="0" borderId="19" xfId="3" applyFont="1" applyBorder="1" applyAlignment="1">
      <alignment horizontal="left" vertical="center" wrapText="1"/>
    </xf>
    <xf numFmtId="0" fontId="4" fillId="0" borderId="20" xfId="3" applyFont="1" applyBorder="1" applyAlignment="1">
      <alignment horizontal="center" vertical="center" wrapText="1"/>
    </xf>
    <xf numFmtId="0" fontId="4" fillId="5" borderId="17" xfId="3" applyFont="1" applyFill="1" applyBorder="1" applyAlignment="1">
      <alignment horizontal="left" vertical="center" wrapText="1"/>
    </xf>
    <xf numFmtId="0" fontId="18" fillId="0" borderId="0" xfId="15" applyFont="1" applyAlignment="1">
      <alignment horizontal="center" vertical="center"/>
    </xf>
    <xf numFmtId="0" fontId="10" fillId="3" borderId="7" xfId="3" applyFont="1" applyFill="1" applyBorder="1" applyAlignment="1">
      <alignment horizontal="center" vertical="center" wrapText="1"/>
    </xf>
    <xf numFmtId="0" fontId="10" fillId="3" borderId="11" xfId="3" applyFont="1" applyFill="1" applyBorder="1" applyAlignment="1">
      <alignment horizontal="center" vertical="center" wrapText="1"/>
    </xf>
    <xf numFmtId="0" fontId="10" fillId="3" borderId="9" xfId="3" applyFont="1" applyFill="1" applyBorder="1" applyAlignment="1">
      <alignment horizontal="center" vertical="center" wrapText="1"/>
    </xf>
    <xf numFmtId="0" fontId="10" fillId="0" borderId="7" xfId="3" applyFont="1" applyBorder="1" applyAlignment="1">
      <alignment horizontal="center" vertical="center" wrapText="1"/>
    </xf>
    <xf numFmtId="0" fontId="10" fillId="0" borderId="11" xfId="3" applyFont="1" applyBorder="1" applyAlignment="1">
      <alignment horizontal="center" vertical="center" wrapText="1"/>
    </xf>
    <xf numFmtId="0" fontId="10" fillId="0" borderId="9" xfId="3" applyFont="1" applyBorder="1" applyAlignment="1">
      <alignment horizontal="center" vertical="center" wrapText="1"/>
    </xf>
    <xf numFmtId="0" fontId="10" fillId="3" borderId="2" xfId="3" applyFont="1" applyFill="1" applyBorder="1" applyAlignment="1">
      <alignment horizontal="center" vertical="center" wrapText="1"/>
    </xf>
    <xf numFmtId="0" fontId="10" fillId="3" borderId="7" xfId="1" applyFont="1" applyFill="1" applyBorder="1" applyAlignment="1">
      <alignment horizontal="center" vertical="center" wrapText="1"/>
    </xf>
    <xf numFmtId="0" fontId="10" fillId="3" borderId="11" xfId="1" applyFont="1" applyFill="1" applyBorder="1" applyAlignment="1">
      <alignment horizontal="center" vertical="center" wrapText="1"/>
    </xf>
    <xf numFmtId="0" fontId="10" fillId="3" borderId="10" xfId="1" applyFont="1" applyFill="1" applyBorder="1" applyAlignment="1">
      <alignment horizontal="center" vertical="center" wrapText="1"/>
    </xf>
    <xf numFmtId="0" fontId="10" fillId="3" borderId="13" xfId="3" applyFont="1" applyFill="1" applyBorder="1" applyAlignment="1">
      <alignment horizontal="center" vertical="center" wrapText="1"/>
    </xf>
    <xf numFmtId="0" fontId="10" fillId="3" borderId="3" xfId="3" applyFont="1" applyFill="1" applyBorder="1" applyAlignment="1">
      <alignment horizontal="center" vertical="center" wrapText="1"/>
    </xf>
    <xf numFmtId="0" fontId="10" fillId="3" borderId="1" xfId="3" applyFont="1" applyFill="1" applyBorder="1" applyAlignment="1">
      <alignment horizontal="center" vertical="center" wrapText="1"/>
    </xf>
  </cellXfs>
  <cellStyles count="23">
    <cellStyle name="백분율 2" xfId="22" xr:uid="{00000000-0005-0000-0000-000000000000}"/>
    <cellStyle name="쉼표 [0] 2" xfId="13" xr:uid="{00000000-0005-0000-0000-000001000000}"/>
    <cellStyle name="표준" xfId="0" builtinId="0"/>
    <cellStyle name="표준 109" xfId="1" xr:uid="{00000000-0005-0000-0000-000003000000}"/>
    <cellStyle name="표준 118" xfId="6" xr:uid="{00000000-0005-0000-0000-000004000000}"/>
    <cellStyle name="표준 12 10" xfId="8" xr:uid="{00000000-0005-0000-0000-000005000000}"/>
    <cellStyle name="표준 13 10" xfId="7" xr:uid="{00000000-0005-0000-0000-000006000000}"/>
    <cellStyle name="표준 14 4" xfId="12" xr:uid="{00000000-0005-0000-0000-000007000000}"/>
    <cellStyle name="표준 2" xfId="3" xr:uid="{00000000-0005-0000-0000-000008000000}"/>
    <cellStyle name="표준 2 177" xfId="5" xr:uid="{00000000-0005-0000-0000-000009000000}"/>
    <cellStyle name="표준 2 2" xfId="16" xr:uid="{00000000-0005-0000-0000-00000A000000}"/>
    <cellStyle name="표준 2 3" xfId="18" xr:uid="{00000000-0005-0000-0000-00000B000000}"/>
    <cellStyle name="표준 2 44 2" xfId="14" xr:uid="{00000000-0005-0000-0000-00000C000000}"/>
    <cellStyle name="표준 3" xfId="15" xr:uid="{00000000-0005-0000-0000-00000D000000}"/>
    <cellStyle name="표준 33 17" xfId="9" xr:uid="{00000000-0005-0000-0000-00000E000000}"/>
    <cellStyle name="표준 36 3" xfId="10" xr:uid="{00000000-0005-0000-0000-00000F000000}"/>
    <cellStyle name="표준 36 3 2" xfId="19" xr:uid="{00000000-0005-0000-0000-000010000000}"/>
    <cellStyle name="표준 43 2" xfId="11" xr:uid="{00000000-0005-0000-0000-000011000000}"/>
    <cellStyle name="하이퍼링크" xfId="4" builtinId="8"/>
    <cellStyle name="하이퍼링크 103" xfId="2" xr:uid="{00000000-0005-0000-0000-000013000000}"/>
    <cellStyle name="하이퍼링크 2" xfId="17" xr:uid="{00000000-0005-0000-0000-000014000000}"/>
    <cellStyle name="하이퍼링크 2 2" xfId="21" xr:uid="{00000000-0005-0000-0000-000015000000}"/>
    <cellStyle name="하이퍼링크 3" xfId="20" xr:uid="{00000000-0005-0000-0000-000016000000}"/>
  </cellStyles>
  <dxfs count="152"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font>
        <color theme="0" tint="-0.24994659260841701"/>
      </font>
    </dxf>
    <dxf>
      <border>
        <bottom style="thin">
          <color auto="1"/>
        </bottom>
      </border>
    </dxf>
    <dxf>
      <font>
        <color theme="0" tint="-0.24994659260841701"/>
      </font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font>
        <color theme="0" tint="-0.24994659260841701"/>
      </font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font>
        <color theme="0" tint="-0.24994659260841701"/>
      </font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</border>
    </dxf>
    <dxf>
      <font>
        <color theme="0" tint="-0.24994659260841701"/>
      </font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</border>
    </dxf>
    <dxf>
      <border>
        <top style="thin">
          <color auto="1"/>
        </top>
        <vertical/>
        <horizontal/>
      </border>
    </dxf>
    <dxf>
      <font>
        <color theme="0" tint="-0.24994659260841701"/>
      </font>
    </dxf>
    <dxf>
      <border>
        <bottom style="thin">
          <color auto="1"/>
        </bottom>
      </border>
    </dxf>
    <dxf>
      <font>
        <color theme="0" tint="-0.24994659260841701"/>
      </font>
    </dxf>
    <dxf>
      <border>
        <top style="thin">
          <color auto="1"/>
        </top>
        <vertical/>
        <horizontal/>
      </border>
    </dxf>
    <dxf>
      <font>
        <color theme="0" tint="-0.24994659260841701"/>
      </font>
    </dxf>
    <dxf>
      <border>
        <bottom style="thin">
          <color auto="1"/>
        </bottom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font>
        <color theme="0" tint="-0.24994659260841701"/>
      </font>
    </dxf>
    <dxf>
      <border>
        <bottom style="thin">
          <color auto="1"/>
        </bottom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</border>
    </dxf>
    <dxf>
      <font>
        <color theme="0" tint="-0.24994659260841701"/>
      </font>
    </dxf>
    <dxf>
      <border>
        <top style="thin">
          <color auto="1"/>
        </top>
        <vertical/>
        <horizontal/>
      </border>
    </dxf>
    <dxf>
      <font>
        <color theme="0" tint="-0.24994659260841701"/>
      </font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font>
        <color theme="0" tint="-0.24994659260841701"/>
      </font>
    </dxf>
    <dxf>
      <border>
        <top style="thin">
          <color auto="1"/>
        </top>
        <vertical/>
        <horizontal/>
      </border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border>
        <top style="thin">
          <color auto="1"/>
        </top>
        <vertical/>
        <horizontal/>
      </border>
    </dxf>
    <dxf>
      <font>
        <color theme="0" tint="-0.24994659260841701"/>
      </font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font>
        <color theme="0" tint="-0.24994659260841701"/>
      </font>
    </dxf>
    <dxf>
      <border>
        <top style="thin">
          <color auto="1"/>
        </top>
        <vertical/>
        <horizontal/>
      </border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font>
        <color theme="0" tint="-0.24994659260841701"/>
      </font>
    </dxf>
    <dxf>
      <border>
        <top style="thin">
          <color auto="1"/>
        </top>
        <vertical/>
        <horizontal/>
      </border>
    </dxf>
    <dxf>
      <font>
        <color auto="1"/>
      </font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33618</xdr:colOff>
      <xdr:row>0</xdr:row>
      <xdr:rowOff>33618</xdr:rowOff>
    </xdr:from>
    <xdr:to>
      <xdr:col>12</xdr:col>
      <xdr:colOff>974912</xdr:colOff>
      <xdr:row>38</xdr:row>
      <xdr:rowOff>201706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18" y="33618"/>
          <a:ext cx="12774706" cy="8258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3.&#47588;&#47588;&#52404;&#44208;\15.&#53580;&#49828;&#53944;&#52992;&#51060;&#49828;\&#53580;&#49828;&#53944;&#45936;&#51060;&#53552;\&#47588;&#52845;&#50644;&#51652;\&#52292;&#44428;\REPO\RPO.003.Validation.&#51333;&#47448;&#47588;&#49688;.&#47588;&#49688;&#48512;&#48516;&#52404;&#4420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템플릿 사용 유의사항"/>
      <sheetName val="입력전문_Repo"/>
      <sheetName val="출력전문"/>
      <sheetName val="항목별참고값"/>
      <sheetName val="ME결과변경정보설정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M39"/>
  <sheetViews>
    <sheetView showGridLines="0" tabSelected="1" view="pageBreakPreview" zoomScale="85" zoomScaleSheetLayoutView="85" workbookViewId="0"/>
  </sheetViews>
  <sheetFormatPr defaultColWidth="9" defaultRowHeight="16.5"/>
  <cols>
    <col min="1" max="13" width="13" style="2" customWidth="1"/>
    <col min="14" max="14" width="14.25" style="2" customWidth="1"/>
    <col min="15" max="16384" width="9" style="2"/>
  </cols>
  <sheetData>
    <row r="1" spans="1:1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1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1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1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1:1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</sheetData>
  <phoneticPr fontId="2" type="noConversion"/>
  <pageMargins left="0.7" right="0.7" top="0.75" bottom="0.75" header="0.3" footer="0.3"/>
  <pageSetup paperSize="9" scale="71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pageSetUpPr fitToPage="1"/>
  </sheetPr>
  <dimension ref="B1:F32"/>
  <sheetViews>
    <sheetView showGridLines="0" workbookViewId="0"/>
  </sheetViews>
  <sheetFormatPr defaultRowHeight="11.25"/>
  <cols>
    <col min="1" max="1" width="2" style="14" customWidth="1"/>
    <col min="2" max="2" width="7.75" style="13" customWidth="1"/>
    <col min="3" max="3" width="10.75" style="13" customWidth="1"/>
    <col min="4" max="4" width="81.375" style="14" customWidth="1"/>
    <col min="5" max="5" width="9.5" style="13" customWidth="1"/>
    <col min="6" max="6" width="44.625" style="13" customWidth="1"/>
    <col min="7" max="16384" width="9" style="14"/>
  </cols>
  <sheetData>
    <row r="1" spans="2:6" s="13" customFormat="1" ht="16.5" customHeight="1">
      <c r="D1" s="14"/>
    </row>
    <row r="2" spans="2:6" ht="31.5">
      <c r="B2" s="64" t="s">
        <v>0</v>
      </c>
      <c r="C2" s="64"/>
      <c r="D2" s="64"/>
      <c r="E2" s="64"/>
      <c r="F2" s="64"/>
    </row>
    <row r="3" spans="2:6" ht="16.5" customHeight="1"/>
    <row r="4" spans="2:6" ht="16.5" customHeight="1">
      <c r="B4" s="15" t="s">
        <v>1</v>
      </c>
      <c r="C4" s="15" t="s">
        <v>2</v>
      </c>
      <c r="D4" s="15" t="s">
        <v>3</v>
      </c>
      <c r="E4" s="15" t="s">
        <v>4</v>
      </c>
      <c r="F4" s="15" t="s">
        <v>5</v>
      </c>
    </row>
    <row r="5" spans="2:6">
      <c r="B5" s="16" t="s">
        <v>6</v>
      </c>
      <c r="C5" s="17">
        <v>44463</v>
      </c>
      <c r="D5" s="18" t="s">
        <v>7</v>
      </c>
      <c r="E5" s="19"/>
      <c r="F5" s="20" t="s">
        <v>8</v>
      </c>
    </row>
    <row r="6" spans="2:6" ht="33.75">
      <c r="B6" s="16" t="s">
        <v>9</v>
      </c>
      <c r="C6" s="17">
        <v>44575</v>
      </c>
      <c r="D6" s="18" t="s">
        <v>10</v>
      </c>
      <c r="E6" s="19"/>
      <c r="F6" s="20"/>
    </row>
    <row r="7" spans="2:6" ht="90">
      <c r="B7" s="16" t="s">
        <v>11</v>
      </c>
      <c r="C7" s="17">
        <v>44630</v>
      </c>
      <c r="D7" s="18" t="s">
        <v>12</v>
      </c>
      <c r="E7" s="19"/>
      <c r="F7" s="20"/>
    </row>
    <row r="8" spans="2:6" ht="22.5">
      <c r="B8" s="16" t="s">
        <v>13</v>
      </c>
      <c r="C8" s="17">
        <v>44630</v>
      </c>
      <c r="D8" s="18" t="s">
        <v>14</v>
      </c>
      <c r="E8" s="19"/>
      <c r="F8" s="20"/>
    </row>
    <row r="9" spans="2:6" ht="33.75">
      <c r="B9" s="16" t="s">
        <v>15</v>
      </c>
      <c r="C9" s="17">
        <v>44666</v>
      </c>
      <c r="D9" s="18" t="s">
        <v>16</v>
      </c>
      <c r="E9" s="19"/>
      <c r="F9" s="20"/>
    </row>
    <row r="10" spans="2:6" ht="22.5">
      <c r="B10" s="16" t="s">
        <v>17</v>
      </c>
      <c r="C10" s="17">
        <v>44708</v>
      </c>
      <c r="D10" s="18" t="s">
        <v>18</v>
      </c>
      <c r="E10" s="19"/>
      <c r="F10" s="20"/>
    </row>
    <row r="11" spans="2:6" ht="22.5">
      <c r="B11" s="16" t="s">
        <v>19</v>
      </c>
      <c r="C11" s="17">
        <v>44750</v>
      </c>
      <c r="D11" s="18" t="s">
        <v>20</v>
      </c>
      <c r="E11" s="19"/>
      <c r="F11" s="20" t="s">
        <v>21</v>
      </c>
    </row>
    <row r="12" spans="2:6" ht="33.75">
      <c r="B12" s="16" t="s">
        <v>22</v>
      </c>
      <c r="C12" s="17">
        <v>44841</v>
      </c>
      <c r="D12" s="18" t="s">
        <v>23</v>
      </c>
      <c r="E12" s="19"/>
      <c r="F12" s="20" t="s">
        <v>21</v>
      </c>
    </row>
    <row r="13" spans="2:6" ht="15.75" customHeight="1"/>
    <row r="14" spans="2:6" ht="15.75" customHeight="1"/>
    <row r="15" spans="2:6" ht="15.75" customHeight="1"/>
    <row r="16" spans="2: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</sheetData>
  <mergeCells count="1">
    <mergeCell ref="B2:F2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85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>
    <pageSetUpPr fitToPage="1"/>
  </sheetPr>
  <dimension ref="A1:AB34"/>
  <sheetViews>
    <sheetView showGridLines="0" view="pageBreakPreview" zoomScale="90" zoomScaleNormal="100" zoomScaleSheetLayoutView="90" workbookViewId="0">
      <pane xSplit="3" ySplit="4" topLeftCell="D5" activePane="bottomRight" state="frozen"/>
      <selection pane="bottomRight" activeCell="D5" sqref="D5"/>
      <selection pane="bottomLeft" activeCell="D24" sqref="D24"/>
      <selection pane="topRight" activeCell="D24" sqref="D24"/>
    </sheetView>
  </sheetViews>
  <sheetFormatPr defaultRowHeight="11.25"/>
  <cols>
    <col min="1" max="1" width="5.375" style="4" customWidth="1"/>
    <col min="2" max="2" width="11" style="4" customWidth="1"/>
    <col min="3" max="3" width="35.5" style="33" bestFit="1" customWidth="1"/>
    <col min="4" max="4" width="6.625" style="3" customWidth="1"/>
    <col min="5" max="5" width="34" style="27" customWidth="1"/>
    <col min="6" max="6" width="21.5" style="4" bestFit="1" customWidth="1"/>
    <col min="7" max="7" width="24.375" style="4" bestFit="1" customWidth="1"/>
    <col min="8" max="8" width="6.375" style="3" bestFit="1" customWidth="1"/>
    <col min="9" max="9" width="10" style="4" customWidth="1"/>
    <col min="10" max="24" width="2.25" style="4" customWidth="1"/>
    <col min="25" max="25" width="5.125" style="3" bestFit="1" customWidth="1"/>
    <col min="26" max="26" width="38.125" style="3" bestFit="1" customWidth="1"/>
    <col min="27" max="27" width="10.5" style="4" hidden="1" customWidth="1"/>
    <col min="28" max="28" width="9" style="3" hidden="1" customWidth="1"/>
    <col min="29" max="16384" width="9" style="3"/>
  </cols>
  <sheetData>
    <row r="1" spans="1:28" s="11" customFormat="1" ht="11.25" customHeight="1">
      <c r="A1" s="68"/>
      <c r="B1" s="77" t="s">
        <v>24</v>
      </c>
      <c r="C1" s="77" t="s">
        <v>25</v>
      </c>
      <c r="D1" s="71" t="s">
        <v>26</v>
      </c>
      <c r="E1" s="71" t="s">
        <v>27</v>
      </c>
      <c r="F1" s="71" t="s">
        <v>28</v>
      </c>
      <c r="G1" s="71" t="s">
        <v>29</v>
      </c>
      <c r="H1" s="72" t="s">
        <v>30</v>
      </c>
      <c r="I1" s="71" t="s">
        <v>31</v>
      </c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65" t="s">
        <v>32</v>
      </c>
      <c r="Z1" s="65" t="s">
        <v>33</v>
      </c>
      <c r="AA1" s="68" t="s">
        <v>34</v>
      </c>
      <c r="AB1" s="68" t="s">
        <v>34</v>
      </c>
    </row>
    <row r="2" spans="1:28" s="11" customFormat="1" ht="11.25" customHeight="1">
      <c r="A2" s="69"/>
      <c r="B2" s="77"/>
      <c r="C2" s="77"/>
      <c r="D2" s="71"/>
      <c r="E2" s="71"/>
      <c r="F2" s="71"/>
      <c r="G2" s="71"/>
      <c r="H2" s="73"/>
      <c r="I2" s="71"/>
      <c r="J2" s="75" t="s">
        <v>35</v>
      </c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66"/>
      <c r="Z2" s="66"/>
      <c r="AA2" s="69"/>
      <c r="AB2" s="69"/>
    </row>
    <row r="3" spans="1:28" s="11" customFormat="1" ht="259.5" customHeight="1">
      <c r="A3" s="70"/>
      <c r="B3" s="77"/>
      <c r="C3" s="77"/>
      <c r="D3" s="71"/>
      <c r="E3" s="71"/>
      <c r="F3" s="71"/>
      <c r="G3" s="71"/>
      <c r="H3" s="74"/>
      <c r="I3" s="71"/>
      <c r="J3" s="28" t="s">
        <v>36</v>
      </c>
      <c r="K3" s="28" t="s">
        <v>37</v>
      </c>
      <c r="L3" s="28" t="s">
        <v>38</v>
      </c>
      <c r="M3" s="28" t="s">
        <v>39</v>
      </c>
      <c r="N3" s="28" t="s">
        <v>40</v>
      </c>
      <c r="O3" s="28" t="s">
        <v>41</v>
      </c>
      <c r="P3" s="28" t="s">
        <v>42</v>
      </c>
      <c r="Q3" s="28" t="s">
        <v>43</v>
      </c>
      <c r="R3" s="28" t="s">
        <v>44</v>
      </c>
      <c r="S3" s="28" t="s">
        <v>45</v>
      </c>
      <c r="T3" s="28" t="s">
        <v>46</v>
      </c>
      <c r="U3" s="28" t="s">
        <v>47</v>
      </c>
      <c r="V3" s="28" t="s">
        <v>48</v>
      </c>
      <c r="W3" s="28" t="s">
        <v>49</v>
      </c>
      <c r="X3" s="28" t="s">
        <v>50</v>
      </c>
      <c r="Y3" s="67"/>
      <c r="Z3" s="67"/>
      <c r="AA3" s="70" t="s">
        <v>34</v>
      </c>
      <c r="AB3" s="70" t="s">
        <v>34</v>
      </c>
    </row>
    <row r="4" spans="1:28" s="11" customFormat="1">
      <c r="A4" s="29"/>
      <c r="B4" s="30"/>
      <c r="C4" s="30"/>
      <c r="D4" s="7"/>
      <c r="E4" s="31"/>
      <c r="F4" s="7"/>
      <c r="G4" s="7"/>
      <c r="H4" s="7"/>
      <c r="I4" s="32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6"/>
      <c r="Z4" s="5"/>
      <c r="AA4" s="35"/>
    </row>
    <row r="5" spans="1:28" ht="12">
      <c r="A5" s="10">
        <f>ROW()-4</f>
        <v>1</v>
      </c>
      <c r="B5" s="12" t="str">
        <f>HYPERLINK("#"&amp;ADDRESS(MATCH($AB5,인터페이스정의서!$A:$A, 0), 1,,,"인터페이스정의서"), $AB5)</f>
        <v>IFMIBAT1003</v>
      </c>
      <c r="C5" s="12" t="s">
        <v>51</v>
      </c>
      <c r="D5" s="7" t="s">
        <v>52</v>
      </c>
      <c r="E5" s="9" t="s">
        <v>53</v>
      </c>
      <c r="F5" s="8">
        <v>0.67361111111111116</v>
      </c>
      <c r="G5" s="7" t="s">
        <v>54</v>
      </c>
      <c r="H5" s="7" t="s">
        <v>55</v>
      </c>
      <c r="I5" s="7" t="s">
        <v>56</v>
      </c>
      <c r="J5" s="7" t="s">
        <v>57</v>
      </c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6">
        <v>120</v>
      </c>
      <c r="Z5" s="5" t="s">
        <v>58</v>
      </c>
      <c r="AA5" s="36" t="str">
        <f>HYPERLINK("#"&amp;ADDRESS(MATCH($B5,인터페이스정의서!$A:$A, 0), 1,,,"인터페이스정의서"), "이동")</f>
        <v>이동</v>
      </c>
      <c r="AB5" s="3" t="s">
        <v>59</v>
      </c>
    </row>
    <row r="6" spans="1:28" ht="12">
      <c r="A6" s="10">
        <f t="shared" ref="A6:A33" si="0">ROW()-4</f>
        <v>2</v>
      </c>
      <c r="B6" s="12" t="str">
        <f>HYPERLINK("#"&amp;ADDRESS(MATCH($AB6,인터페이스정의서!$A:$A, 0), 1,,,"인터페이스정의서"), $AB6)</f>
        <v>IFMIBAT1004</v>
      </c>
      <c r="C6" s="12" t="s">
        <v>60</v>
      </c>
      <c r="D6" s="7" t="s">
        <v>52</v>
      </c>
      <c r="E6" s="9" t="s">
        <v>61</v>
      </c>
      <c r="F6" s="8">
        <v>0.67361111111111116</v>
      </c>
      <c r="G6" s="7" t="s">
        <v>62</v>
      </c>
      <c r="H6" s="7" t="s">
        <v>55</v>
      </c>
      <c r="I6" s="7" t="s">
        <v>56</v>
      </c>
      <c r="J6" s="7" t="s">
        <v>57</v>
      </c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6">
        <v>120</v>
      </c>
      <c r="Z6" s="5" t="s">
        <v>58</v>
      </c>
      <c r="AA6" s="36" t="str">
        <f>HYPERLINK("#"&amp;ADDRESS(MATCH($B6,인터페이스정의서!$A:$A, 0), 1,,,"인터페이스정의서"), "이동")</f>
        <v>이동</v>
      </c>
      <c r="AB6" s="3" t="s">
        <v>63</v>
      </c>
    </row>
    <row r="7" spans="1:28" ht="12">
      <c r="A7" s="10">
        <f t="shared" si="0"/>
        <v>3</v>
      </c>
      <c r="B7" s="12" t="str">
        <f>HYPERLINK("#"&amp;ADDRESS(MATCH($AB7,인터페이스정의서!$A:$A, 0), 1,,,"인터페이스정의서"), $AB7)</f>
        <v>IFMIBAT1005</v>
      </c>
      <c r="C7" s="12" t="s">
        <v>64</v>
      </c>
      <c r="D7" s="7" t="s">
        <v>52</v>
      </c>
      <c r="E7" s="9" t="s">
        <v>65</v>
      </c>
      <c r="F7" s="8">
        <v>0.67361111111111116</v>
      </c>
      <c r="G7" s="7" t="s">
        <v>66</v>
      </c>
      <c r="H7" s="7" t="s">
        <v>55</v>
      </c>
      <c r="I7" s="7" t="s">
        <v>56</v>
      </c>
      <c r="J7" s="7" t="s">
        <v>57</v>
      </c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6">
        <v>120</v>
      </c>
      <c r="Z7" s="5" t="s">
        <v>58</v>
      </c>
      <c r="AA7" s="36" t="str">
        <f>HYPERLINK("#"&amp;ADDRESS(MATCH($B7,인터페이스정의서!$A:$A, 0), 1,,,"인터페이스정의서"), "이동")</f>
        <v>이동</v>
      </c>
      <c r="AB7" s="3" t="s">
        <v>67</v>
      </c>
    </row>
    <row r="8" spans="1:28" ht="22.5">
      <c r="A8" s="10">
        <f t="shared" si="0"/>
        <v>4</v>
      </c>
      <c r="B8" s="12" t="str">
        <f>HYPERLINK("#"&amp;ADDRESS(MATCH($AB8,인터페이스정의서!$A:$A, 0), 1,,,"인터페이스정의서"), $AB8)</f>
        <v>IFMIBAT1006</v>
      </c>
      <c r="C8" s="12" t="s">
        <v>68</v>
      </c>
      <c r="D8" s="7" t="s">
        <v>52</v>
      </c>
      <c r="E8" s="9" t="s">
        <v>69</v>
      </c>
      <c r="F8" s="8">
        <v>0.67361111111111116</v>
      </c>
      <c r="G8" s="7" t="s">
        <v>70</v>
      </c>
      <c r="H8" s="7" t="s">
        <v>55</v>
      </c>
      <c r="I8" s="7" t="s">
        <v>56</v>
      </c>
      <c r="J8" s="7" t="s">
        <v>57</v>
      </c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6">
        <v>120</v>
      </c>
      <c r="Z8" s="5" t="s">
        <v>58</v>
      </c>
      <c r="AA8" s="36" t="str">
        <f>HYPERLINK("#"&amp;ADDRESS(MATCH($B8,인터페이스정의서!$A:$A, 0), 1,,,"인터페이스정의서"), "이동")</f>
        <v>이동</v>
      </c>
      <c r="AB8" s="3" t="s">
        <v>71</v>
      </c>
    </row>
    <row r="9" spans="1:28" ht="22.5">
      <c r="A9" s="10">
        <f t="shared" si="0"/>
        <v>5</v>
      </c>
      <c r="B9" s="12" t="str">
        <f>HYPERLINK("#"&amp;ADDRESS(MATCH($AB9,인터페이스정의서!$A:$A, 0), 1,,,"인터페이스정의서"), $AB9)</f>
        <v>IFMIBAT1007</v>
      </c>
      <c r="C9" s="12" t="s">
        <v>72</v>
      </c>
      <c r="D9" s="7" t="s">
        <v>52</v>
      </c>
      <c r="E9" s="9" t="s">
        <v>73</v>
      </c>
      <c r="F9" s="8">
        <v>0.67361111111111116</v>
      </c>
      <c r="G9" s="7" t="s">
        <v>74</v>
      </c>
      <c r="H9" s="7" t="s">
        <v>55</v>
      </c>
      <c r="I9" s="7" t="s">
        <v>56</v>
      </c>
      <c r="J9" s="7" t="s">
        <v>57</v>
      </c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6">
        <v>120</v>
      </c>
      <c r="Z9" s="5" t="s">
        <v>58</v>
      </c>
      <c r="AA9" s="36" t="str">
        <f>HYPERLINK("#"&amp;ADDRESS(MATCH($B9,인터페이스정의서!$A:$A, 0), 1,,,"인터페이스정의서"), "이동")</f>
        <v>이동</v>
      </c>
      <c r="AB9" s="3" t="s">
        <v>75</v>
      </c>
    </row>
    <row r="10" spans="1:28" ht="12">
      <c r="A10" s="10">
        <f t="shared" si="0"/>
        <v>6</v>
      </c>
      <c r="B10" s="12" t="str">
        <f>HYPERLINK("#"&amp;ADDRESS(MATCH($AB10,인터페이스정의서!$A:$A, 0), 1,,,"인터페이스정의서"), $AB10)</f>
        <v>IFMIBAT1009</v>
      </c>
      <c r="C10" s="12" t="s">
        <v>76</v>
      </c>
      <c r="D10" s="7" t="s">
        <v>52</v>
      </c>
      <c r="E10" s="9" t="s">
        <v>77</v>
      </c>
      <c r="F10" s="8">
        <v>0.67361111111111116</v>
      </c>
      <c r="G10" s="7" t="s">
        <v>78</v>
      </c>
      <c r="H10" s="7" t="s">
        <v>55</v>
      </c>
      <c r="I10" s="7" t="s">
        <v>56</v>
      </c>
      <c r="J10" s="7" t="s">
        <v>57</v>
      </c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6">
        <v>120</v>
      </c>
      <c r="Z10" s="5" t="s">
        <v>58</v>
      </c>
      <c r="AA10" s="36" t="str">
        <f>HYPERLINK("#"&amp;ADDRESS(MATCH($B10,인터페이스정의서!$A:$A, 0), 1,,,"인터페이스정의서"), "이동")</f>
        <v>이동</v>
      </c>
      <c r="AB10" s="3" t="s">
        <v>79</v>
      </c>
    </row>
    <row r="11" spans="1:28" ht="12">
      <c r="A11" s="10">
        <f t="shared" si="0"/>
        <v>7</v>
      </c>
      <c r="B11" s="12" t="str">
        <f>HYPERLINK("#"&amp;ADDRESS(MATCH($AB11,인터페이스정의서!$A:$A, 0), 1,,,"인터페이스정의서"), $AB11)</f>
        <v>IFMIBAT1012</v>
      </c>
      <c r="C11" s="12" t="s">
        <v>80</v>
      </c>
      <c r="D11" s="7" t="s">
        <v>52</v>
      </c>
      <c r="E11" s="9" t="s">
        <v>81</v>
      </c>
      <c r="F11" s="8">
        <v>0.75694444444444453</v>
      </c>
      <c r="G11" s="7" t="s">
        <v>82</v>
      </c>
      <c r="H11" s="7" t="s">
        <v>55</v>
      </c>
      <c r="I11" s="7" t="s">
        <v>56</v>
      </c>
      <c r="J11" s="7" t="s">
        <v>57</v>
      </c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6">
        <v>120</v>
      </c>
      <c r="Z11" s="5" t="s">
        <v>58</v>
      </c>
      <c r="AA11" s="36" t="str">
        <f>HYPERLINK("#"&amp;ADDRESS(MATCH($B11,인터페이스정의서!$A:$A, 0), 1,,,"인터페이스정의서"), "이동")</f>
        <v>이동</v>
      </c>
      <c r="AB11" s="3" t="s">
        <v>83</v>
      </c>
    </row>
    <row r="12" spans="1:28" ht="22.5">
      <c r="A12" s="10">
        <f t="shared" si="0"/>
        <v>8</v>
      </c>
      <c r="B12" s="12" t="str">
        <f>HYPERLINK("#"&amp;ADDRESS(MATCH($AB12,인터페이스정의서!$A:$A, 0), 1,,,"인터페이스정의서"), $AB12)</f>
        <v>IFMIBAT1013</v>
      </c>
      <c r="C12" s="12" t="s">
        <v>84</v>
      </c>
      <c r="D12" s="7" t="s">
        <v>52</v>
      </c>
      <c r="E12" s="9" t="s">
        <v>85</v>
      </c>
      <c r="F12" s="8">
        <v>0.75694444444444453</v>
      </c>
      <c r="G12" s="7" t="s">
        <v>86</v>
      </c>
      <c r="H12" s="7" t="s">
        <v>55</v>
      </c>
      <c r="I12" s="7" t="s">
        <v>56</v>
      </c>
      <c r="J12" s="7" t="s">
        <v>57</v>
      </c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6">
        <v>120</v>
      </c>
      <c r="Z12" s="5" t="s">
        <v>58</v>
      </c>
      <c r="AA12" s="36" t="str">
        <f>HYPERLINK("#"&amp;ADDRESS(MATCH($B12,인터페이스정의서!$A:$A, 0), 1,,,"인터페이스정의서"), "이동")</f>
        <v>이동</v>
      </c>
      <c r="AB12" s="3" t="s">
        <v>87</v>
      </c>
    </row>
    <row r="13" spans="1:28" ht="22.5">
      <c r="A13" s="10">
        <f t="shared" si="0"/>
        <v>9</v>
      </c>
      <c r="B13" s="12" t="str">
        <f>HYPERLINK("#"&amp;ADDRESS(MATCH($AB13,인터페이스정의서!$A:$A, 0), 1,,,"인터페이스정의서"), $AB13)</f>
        <v>IFMIBAT1014</v>
      </c>
      <c r="C13" s="12" t="s">
        <v>88</v>
      </c>
      <c r="D13" s="7" t="s">
        <v>52</v>
      </c>
      <c r="E13" s="9" t="s">
        <v>89</v>
      </c>
      <c r="F13" s="8">
        <v>0.75694444444444453</v>
      </c>
      <c r="G13" s="7" t="s">
        <v>90</v>
      </c>
      <c r="H13" s="7" t="s">
        <v>55</v>
      </c>
      <c r="I13" s="7" t="s">
        <v>56</v>
      </c>
      <c r="J13" s="7" t="s">
        <v>57</v>
      </c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6">
        <v>120</v>
      </c>
      <c r="Z13" s="5" t="s">
        <v>58</v>
      </c>
      <c r="AA13" s="36" t="str">
        <f>HYPERLINK("#"&amp;ADDRESS(MATCH($B13,인터페이스정의서!$A:$A, 0), 1,,,"인터페이스정의서"), "이동")</f>
        <v>이동</v>
      </c>
      <c r="AB13" s="3" t="s">
        <v>91</v>
      </c>
    </row>
    <row r="14" spans="1:28" ht="12">
      <c r="A14" s="10">
        <f t="shared" si="0"/>
        <v>10</v>
      </c>
      <c r="B14" s="12" t="str">
        <f>HYPERLINK("#"&amp;ADDRESS(MATCH($AB14,인터페이스정의서!$A:$A, 0), 1,,,"인터페이스정의서"), $AB14)</f>
        <v>IFMIBAT1017</v>
      </c>
      <c r="C14" s="12" t="s">
        <v>92</v>
      </c>
      <c r="D14" s="7" t="s">
        <v>52</v>
      </c>
      <c r="E14" s="9" t="s">
        <v>93</v>
      </c>
      <c r="F14" s="8">
        <v>0.72916666666666663</v>
      </c>
      <c r="G14" s="7" t="s">
        <v>94</v>
      </c>
      <c r="H14" s="7" t="s">
        <v>55</v>
      </c>
      <c r="I14" s="7" t="s">
        <v>56</v>
      </c>
      <c r="J14" s="7" t="s">
        <v>57</v>
      </c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6">
        <v>120</v>
      </c>
      <c r="Z14" s="5" t="s">
        <v>58</v>
      </c>
      <c r="AA14" s="36" t="str">
        <f>HYPERLINK("#"&amp;ADDRESS(MATCH($B14,인터페이스정의서!$A:$A, 0), 1,,,"인터페이스정의서"), "이동")</f>
        <v>이동</v>
      </c>
      <c r="AB14" s="3" t="s">
        <v>95</v>
      </c>
    </row>
    <row r="15" spans="1:28" ht="12">
      <c r="A15" s="10">
        <f t="shared" si="0"/>
        <v>11</v>
      </c>
      <c r="B15" s="12" t="str">
        <f>HYPERLINK("#"&amp;ADDRESS(MATCH($AB15,인터페이스정의서!$A:$A, 0), 1,,,"인터페이스정의서"), $AB15)</f>
        <v>IFMIBAT1018</v>
      </c>
      <c r="C15" s="12" t="s">
        <v>96</v>
      </c>
      <c r="D15" s="7" t="s">
        <v>52</v>
      </c>
      <c r="E15" s="9" t="s">
        <v>97</v>
      </c>
      <c r="F15" s="8">
        <v>0.72916666666666663</v>
      </c>
      <c r="G15" s="7" t="s">
        <v>98</v>
      </c>
      <c r="H15" s="7" t="s">
        <v>55</v>
      </c>
      <c r="I15" s="7" t="s">
        <v>56</v>
      </c>
      <c r="J15" s="7" t="s">
        <v>57</v>
      </c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6">
        <v>120</v>
      </c>
      <c r="Z15" s="5" t="s">
        <v>58</v>
      </c>
      <c r="AA15" s="36" t="str">
        <f>HYPERLINK("#"&amp;ADDRESS(MATCH($B15,인터페이스정의서!$A:$A, 0), 1,,,"인터페이스정의서"), "이동")</f>
        <v>이동</v>
      </c>
      <c r="AB15" s="3" t="s">
        <v>99</v>
      </c>
    </row>
    <row r="16" spans="1:28" ht="12">
      <c r="A16" s="10">
        <f t="shared" si="0"/>
        <v>12</v>
      </c>
      <c r="B16" s="12" t="str">
        <f>HYPERLINK("#"&amp;ADDRESS(MATCH($AB16,인터페이스정의서!$A:$A, 0), 1,,,"인터페이스정의서"), $AB16)</f>
        <v>IFMIBAT1019</v>
      </c>
      <c r="C16" s="12" t="s">
        <v>100</v>
      </c>
      <c r="D16" s="7" t="s">
        <v>52</v>
      </c>
      <c r="E16" s="9" t="s">
        <v>101</v>
      </c>
      <c r="F16" s="8">
        <v>0.72916666666666663</v>
      </c>
      <c r="G16" s="7" t="s">
        <v>102</v>
      </c>
      <c r="H16" s="7" t="s">
        <v>55</v>
      </c>
      <c r="I16" s="7" t="s">
        <v>56</v>
      </c>
      <c r="J16" s="7" t="s">
        <v>57</v>
      </c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6">
        <v>120</v>
      </c>
      <c r="Z16" s="5" t="s">
        <v>58</v>
      </c>
      <c r="AA16" s="36" t="str">
        <f>HYPERLINK("#"&amp;ADDRESS(MATCH($B16,인터페이스정의서!$A:$A, 0), 1,,,"인터페이스정의서"), "이동")</f>
        <v>이동</v>
      </c>
      <c r="AB16" s="3" t="s">
        <v>103</v>
      </c>
    </row>
    <row r="17" spans="1:28" ht="12">
      <c r="A17" s="10">
        <f t="shared" si="0"/>
        <v>13</v>
      </c>
      <c r="B17" s="12" t="str">
        <f>HYPERLINK("#"&amp;ADDRESS(MATCH($AB17,인터페이스정의서!$A:$A, 0), 1,,,"인터페이스정의서"), $AB17)</f>
        <v>IFMIBAT1020</v>
      </c>
      <c r="C17" s="12" t="s">
        <v>104</v>
      </c>
      <c r="D17" s="7" t="s">
        <v>52</v>
      </c>
      <c r="E17" s="9" t="s">
        <v>105</v>
      </c>
      <c r="F17" s="8">
        <v>0.72916666666666663</v>
      </c>
      <c r="G17" s="7" t="s">
        <v>106</v>
      </c>
      <c r="H17" s="7" t="s">
        <v>55</v>
      </c>
      <c r="I17" s="7" t="s">
        <v>56</v>
      </c>
      <c r="J17" s="7" t="s">
        <v>57</v>
      </c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6">
        <v>36</v>
      </c>
      <c r="Z17" s="5" t="s">
        <v>58</v>
      </c>
      <c r="AA17" s="36" t="str">
        <f>HYPERLINK("#"&amp;ADDRESS(MATCH($B17,인터페이스정의서!$A:$A, 0), 1,,,"인터페이스정의서"), "이동")</f>
        <v>이동</v>
      </c>
      <c r="AB17" s="3" t="s">
        <v>107</v>
      </c>
    </row>
    <row r="18" spans="1:28" ht="22.5">
      <c r="A18" s="10">
        <f t="shared" si="0"/>
        <v>14</v>
      </c>
      <c r="B18" s="12" t="str">
        <f>HYPERLINK("#"&amp;ADDRESS(MATCH($AB18,인터페이스정의서!$A:$A, 0), 1,,,"인터페이스정의서"), $AB18)</f>
        <v>IFMIBAT1021</v>
      </c>
      <c r="C18" s="12" t="s">
        <v>108</v>
      </c>
      <c r="D18" s="7" t="s">
        <v>52</v>
      </c>
      <c r="E18" s="9" t="s">
        <v>109</v>
      </c>
      <c r="F18" s="8">
        <v>0.72916666666666663</v>
      </c>
      <c r="G18" s="7" t="s">
        <v>110</v>
      </c>
      <c r="H18" s="7" t="s">
        <v>55</v>
      </c>
      <c r="I18" s="7" t="s">
        <v>56</v>
      </c>
      <c r="J18" s="7" t="s">
        <v>57</v>
      </c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6">
        <v>36</v>
      </c>
      <c r="Z18" s="5" t="s">
        <v>58</v>
      </c>
      <c r="AA18" s="36" t="str">
        <f>HYPERLINK("#"&amp;ADDRESS(MATCH($B18,인터페이스정의서!$A:$A, 0), 1,,,"인터페이스정의서"), "이동")</f>
        <v>이동</v>
      </c>
      <c r="AB18" s="3" t="s">
        <v>111</v>
      </c>
    </row>
    <row r="19" spans="1:28" ht="12">
      <c r="A19" s="10">
        <f t="shared" si="0"/>
        <v>15</v>
      </c>
      <c r="B19" s="12" t="str">
        <f>HYPERLINK("#"&amp;ADDRESS(MATCH($AB19,인터페이스정의서!$A:$A, 0), 1,,,"인터페이스정의서"), $AB19)</f>
        <v>IFMIBAT1022</v>
      </c>
      <c r="C19" s="12" t="s">
        <v>112</v>
      </c>
      <c r="D19" s="7" t="s">
        <v>52</v>
      </c>
      <c r="E19" s="9" t="s">
        <v>113</v>
      </c>
      <c r="F19" s="8">
        <v>0.72916666666666663</v>
      </c>
      <c r="G19" s="7" t="s">
        <v>114</v>
      </c>
      <c r="H19" s="7" t="s">
        <v>55</v>
      </c>
      <c r="I19" s="7" t="s">
        <v>56</v>
      </c>
      <c r="J19" s="7" t="s">
        <v>57</v>
      </c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6">
        <v>36</v>
      </c>
      <c r="Z19" s="5" t="s">
        <v>58</v>
      </c>
      <c r="AA19" s="36" t="str">
        <f>HYPERLINK("#"&amp;ADDRESS(MATCH($B19,인터페이스정의서!$A:$A, 0), 1,,,"인터페이스정의서"), "이동")</f>
        <v>이동</v>
      </c>
      <c r="AB19" s="3" t="s">
        <v>115</v>
      </c>
    </row>
    <row r="20" spans="1:28" ht="12">
      <c r="A20" s="10">
        <f t="shared" si="0"/>
        <v>16</v>
      </c>
      <c r="B20" s="12" t="str">
        <f>HYPERLINK("#"&amp;ADDRESS(MATCH($AB20,인터페이스정의서!$A:$A, 0), 1,,,"인터페이스정의서"), $AB20)</f>
        <v>IFMIBAT1023</v>
      </c>
      <c r="C20" s="12" t="s">
        <v>116</v>
      </c>
      <c r="D20" s="7" t="s">
        <v>52</v>
      </c>
      <c r="E20" s="9" t="s">
        <v>117</v>
      </c>
      <c r="F20" s="8">
        <v>0.72916666666666663</v>
      </c>
      <c r="G20" s="7" t="s">
        <v>118</v>
      </c>
      <c r="H20" s="7" t="s">
        <v>55</v>
      </c>
      <c r="I20" s="7" t="s">
        <v>56</v>
      </c>
      <c r="J20" s="7" t="s">
        <v>57</v>
      </c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6">
        <v>36</v>
      </c>
      <c r="Z20" s="5" t="s">
        <v>58</v>
      </c>
      <c r="AA20" s="36" t="str">
        <f>HYPERLINK("#"&amp;ADDRESS(MATCH($B20,인터페이스정의서!$A:$A, 0), 1,,,"인터페이스정의서"), "이동")</f>
        <v>이동</v>
      </c>
      <c r="AB20" s="3" t="s">
        <v>119</v>
      </c>
    </row>
    <row r="21" spans="1:28" ht="12">
      <c r="A21" s="10">
        <f t="shared" si="0"/>
        <v>17</v>
      </c>
      <c r="B21" s="12" t="str">
        <f>HYPERLINK("#"&amp;ADDRESS(MATCH($AB21,인터페이스정의서!$A:$A, 0), 1,,,"인터페이스정의서"), $AB21)</f>
        <v>IFMIBAT1024</v>
      </c>
      <c r="C21" s="12" t="s">
        <v>120</v>
      </c>
      <c r="D21" s="7" t="s">
        <v>52</v>
      </c>
      <c r="E21" s="9" t="s">
        <v>121</v>
      </c>
      <c r="F21" s="8">
        <v>0.72916666666666663</v>
      </c>
      <c r="G21" s="7" t="s">
        <v>122</v>
      </c>
      <c r="H21" s="7" t="s">
        <v>55</v>
      </c>
      <c r="I21" s="7" t="s">
        <v>56</v>
      </c>
      <c r="J21" s="7" t="s">
        <v>57</v>
      </c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6">
        <v>36</v>
      </c>
      <c r="Z21" s="5" t="s">
        <v>58</v>
      </c>
      <c r="AA21" s="36" t="str">
        <f>HYPERLINK("#"&amp;ADDRESS(MATCH($B21,인터페이스정의서!$A:$A, 0), 1,,,"인터페이스정의서"), "이동")</f>
        <v>이동</v>
      </c>
      <c r="AB21" s="3" t="s">
        <v>123</v>
      </c>
    </row>
    <row r="22" spans="1:28" ht="12">
      <c r="A22" s="10">
        <f t="shared" si="0"/>
        <v>18</v>
      </c>
      <c r="B22" s="12" t="str">
        <f>HYPERLINK("#"&amp;ADDRESS(MATCH($AB22,인터페이스정의서!$A:$A, 0), 1,,,"인터페이스정의서"), $AB22)</f>
        <v>IFMIBAT1025</v>
      </c>
      <c r="C22" s="12" t="s">
        <v>124</v>
      </c>
      <c r="D22" s="7" t="s">
        <v>52</v>
      </c>
      <c r="E22" s="9" t="s">
        <v>125</v>
      </c>
      <c r="F22" s="8">
        <v>0.72916666666666663</v>
      </c>
      <c r="G22" s="7" t="s">
        <v>126</v>
      </c>
      <c r="H22" s="7" t="s">
        <v>55</v>
      </c>
      <c r="I22" s="7" t="s">
        <v>56</v>
      </c>
      <c r="J22" s="7" t="s">
        <v>57</v>
      </c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6">
        <v>36</v>
      </c>
      <c r="Z22" s="5" t="s">
        <v>58</v>
      </c>
      <c r="AA22" s="36" t="str">
        <f>HYPERLINK("#"&amp;ADDRESS(MATCH($B22,인터페이스정의서!$A:$A, 0), 1,,,"인터페이스정의서"), "이동")</f>
        <v>이동</v>
      </c>
      <c r="AB22" s="3" t="s">
        <v>127</v>
      </c>
    </row>
    <row r="23" spans="1:28" ht="12">
      <c r="A23" s="10">
        <f t="shared" si="0"/>
        <v>19</v>
      </c>
      <c r="B23" s="12" t="str">
        <f>HYPERLINK("#"&amp;ADDRESS(MATCH($AB23,인터페이스정의서!$A:$A, 0), 1,,,"인터페이스정의서"), $AB23)</f>
        <v>IFMIBAT1026</v>
      </c>
      <c r="C23" s="12" t="s">
        <v>128</v>
      </c>
      <c r="D23" s="7" t="s">
        <v>52</v>
      </c>
      <c r="E23" s="9" t="s">
        <v>128</v>
      </c>
      <c r="F23" s="8">
        <v>0.35416666666666669</v>
      </c>
      <c r="G23" s="7" t="s">
        <v>129</v>
      </c>
      <c r="H23" s="7" t="s">
        <v>55</v>
      </c>
      <c r="I23" s="7" t="s">
        <v>56</v>
      </c>
      <c r="J23" s="7" t="s">
        <v>57</v>
      </c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6">
        <v>120</v>
      </c>
      <c r="Z23" s="5"/>
      <c r="AA23" s="36" t="str">
        <f>HYPERLINK("#"&amp;ADDRESS(MATCH($B23,인터페이스정의서!$A:$A, 0), 1,,,"인터페이스정의서"), "이동")</f>
        <v>이동</v>
      </c>
      <c r="AB23" s="3" t="s">
        <v>130</v>
      </c>
    </row>
    <row r="24" spans="1:28" ht="12">
      <c r="A24" s="10">
        <f t="shared" si="0"/>
        <v>20</v>
      </c>
      <c r="B24" s="12" t="str">
        <f>HYPERLINK("#"&amp;ADDRESS(MATCH($AB24,인터페이스정의서!$A:$A, 0), 1,,,"인터페이스정의서"), $AB24)</f>
        <v>IFMIBAT1027</v>
      </c>
      <c r="C24" s="12" t="s">
        <v>131</v>
      </c>
      <c r="D24" s="7" t="s">
        <v>52</v>
      </c>
      <c r="E24" s="9" t="s">
        <v>131</v>
      </c>
      <c r="F24" s="8">
        <v>0.8125</v>
      </c>
      <c r="G24" s="7" t="s">
        <v>132</v>
      </c>
      <c r="H24" s="7" t="s">
        <v>55</v>
      </c>
      <c r="I24" s="7" t="s">
        <v>56</v>
      </c>
      <c r="J24" s="7" t="s">
        <v>57</v>
      </c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6">
        <v>120</v>
      </c>
      <c r="Z24" s="5"/>
      <c r="AA24" s="36" t="str">
        <f>HYPERLINK("#"&amp;ADDRESS(MATCH($B24,인터페이스정의서!$A:$A, 0), 1,,,"인터페이스정의서"), "이동")</f>
        <v>이동</v>
      </c>
      <c r="AB24" s="3" t="s">
        <v>133</v>
      </c>
    </row>
    <row r="25" spans="1:28" ht="12">
      <c r="A25" s="10">
        <f t="shared" si="0"/>
        <v>21</v>
      </c>
      <c r="B25" s="12" t="str">
        <f>HYPERLINK("#"&amp;ADDRESS(MATCH($AB25,인터페이스정의서!$A:$A, 0), 1,,,"인터페이스정의서"), $AB25)</f>
        <v>IFMIBAT1028</v>
      </c>
      <c r="C25" s="12" t="s">
        <v>134</v>
      </c>
      <c r="D25" s="22" t="s">
        <v>52</v>
      </c>
      <c r="E25" s="9" t="s">
        <v>135</v>
      </c>
      <c r="F25" s="8">
        <v>0.75694444444444453</v>
      </c>
      <c r="G25" s="7" t="s">
        <v>136</v>
      </c>
      <c r="H25" s="7" t="s">
        <v>55</v>
      </c>
      <c r="I25" s="7" t="s">
        <v>56</v>
      </c>
      <c r="J25" s="7" t="s">
        <v>57</v>
      </c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6">
        <v>115</v>
      </c>
      <c r="Z25" s="5"/>
      <c r="AA25" s="36" t="str">
        <f>HYPERLINK("#"&amp;ADDRESS(MATCH($B25,인터페이스정의서!$A:$A, 0), 1,,,"인터페이스정의서"), "이동")</f>
        <v>이동</v>
      </c>
      <c r="AB25" s="3" t="s">
        <v>137</v>
      </c>
    </row>
    <row r="26" spans="1:28" ht="33.75">
      <c r="A26" s="10">
        <f t="shared" si="0"/>
        <v>22</v>
      </c>
      <c r="B26" s="12" t="str">
        <f>HYPERLINK("#"&amp;ADDRESS(MATCH($AB26,인터페이스정의서!$A:$A, 0), 1,,,"인터페이스정의서"), $AB26)</f>
        <v>IFMIBAT1029</v>
      </c>
      <c r="C26" s="12" t="s">
        <v>138</v>
      </c>
      <c r="D26" s="22" t="s">
        <v>52</v>
      </c>
      <c r="E26" s="9" t="s">
        <v>139</v>
      </c>
      <c r="F26" s="8">
        <v>0.75694444444444453</v>
      </c>
      <c r="G26" s="7" t="s">
        <v>136</v>
      </c>
      <c r="H26" s="7" t="s">
        <v>55</v>
      </c>
      <c r="I26" s="7" t="s">
        <v>56</v>
      </c>
      <c r="J26" s="7" t="s">
        <v>57</v>
      </c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6">
        <v>190</v>
      </c>
      <c r="Z26" s="5"/>
      <c r="AA26" s="36" t="str">
        <f>HYPERLINK("#"&amp;ADDRESS(MATCH($B26,인터페이스정의서!$A:$A, 0), 1,,,"인터페이스정의서"), "이동")</f>
        <v>이동</v>
      </c>
      <c r="AB26" s="3" t="s">
        <v>140</v>
      </c>
    </row>
    <row r="27" spans="1:28" ht="12">
      <c r="A27" s="10">
        <f t="shared" si="0"/>
        <v>23</v>
      </c>
      <c r="B27" s="12" t="str">
        <f>HYPERLINK("#"&amp;ADDRESS(MATCH($AB27,인터페이스정의서!$A:$A, 0), 1,,,"인터페이스정의서"), $AB27)</f>
        <v>IFMIBAT1030</v>
      </c>
      <c r="C27" s="12" t="s">
        <v>141</v>
      </c>
      <c r="D27" s="7" t="s">
        <v>52</v>
      </c>
      <c r="E27" s="9" t="s">
        <v>141</v>
      </c>
      <c r="F27" s="8">
        <v>0.75694444444444453</v>
      </c>
      <c r="G27" s="7" t="s">
        <v>142</v>
      </c>
      <c r="H27" s="7" t="s">
        <v>55</v>
      </c>
      <c r="I27" s="7" t="s">
        <v>56</v>
      </c>
      <c r="J27" s="7" t="s">
        <v>57</v>
      </c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6">
        <v>36</v>
      </c>
      <c r="Z27" s="5" t="s">
        <v>58</v>
      </c>
      <c r="AA27" s="36" t="str">
        <f>HYPERLINK("#"&amp;ADDRESS(MATCH($B27,인터페이스정의서!$A:$A, 0), 1,,,"인터페이스정의서"), "이동")</f>
        <v>이동</v>
      </c>
      <c r="AB27" s="3" t="s">
        <v>143</v>
      </c>
    </row>
    <row r="28" spans="1:28" ht="22.5">
      <c r="A28" s="10">
        <f t="shared" si="0"/>
        <v>24</v>
      </c>
      <c r="B28" s="12" t="str">
        <f>HYPERLINK("#"&amp;ADDRESS(MATCH($AB28,인터페이스정의서!$A:$A, 0), 1,,,"인터페이스정의서"), $AB28)</f>
        <v>IFMIBAT1031</v>
      </c>
      <c r="C28" s="12" t="s">
        <v>144</v>
      </c>
      <c r="D28" s="7" t="s">
        <v>52</v>
      </c>
      <c r="E28" s="9" t="s">
        <v>144</v>
      </c>
      <c r="F28" s="8">
        <v>0.75694444444444453</v>
      </c>
      <c r="G28" s="7" t="s">
        <v>145</v>
      </c>
      <c r="H28" s="7" t="s">
        <v>55</v>
      </c>
      <c r="I28" s="7" t="s">
        <v>56</v>
      </c>
      <c r="J28" s="7" t="s">
        <v>57</v>
      </c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6">
        <v>195</v>
      </c>
      <c r="Z28" s="5" t="s">
        <v>58</v>
      </c>
      <c r="AA28" s="36" t="str">
        <f>HYPERLINK("#"&amp;ADDRESS(MATCH($B28,인터페이스정의서!$A:$A, 0), 1,,,"인터페이스정의서"), "이동")</f>
        <v>이동</v>
      </c>
      <c r="AB28" s="3" t="s">
        <v>146</v>
      </c>
    </row>
    <row r="29" spans="1:28" ht="33.75">
      <c r="A29" s="10">
        <f t="shared" si="0"/>
        <v>25</v>
      </c>
      <c r="B29" s="12" t="str">
        <f>HYPERLINK("#"&amp;ADDRESS(MATCH($AB29,인터페이스정의서!$A:$A, 0), 1,,,"인터페이스정의서"), $AB29)</f>
        <v>IFMIBAT1032</v>
      </c>
      <c r="C29" s="12" t="s">
        <v>147</v>
      </c>
      <c r="D29" s="7" t="s">
        <v>52</v>
      </c>
      <c r="E29" s="9" t="s">
        <v>148</v>
      </c>
      <c r="F29" s="8">
        <v>0.8125</v>
      </c>
      <c r="G29" s="7" t="s">
        <v>149</v>
      </c>
      <c r="H29" s="7" t="s">
        <v>55</v>
      </c>
      <c r="I29" s="7" t="s">
        <v>56</v>
      </c>
      <c r="J29" s="7" t="s">
        <v>57</v>
      </c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6">
        <v>39</v>
      </c>
      <c r="Z29" s="5"/>
      <c r="AA29" s="36" t="str">
        <f>HYPERLINK("#"&amp;ADDRESS(MATCH($B29,인터페이스정의서!$A:$A, 0), 1,,,"인터페이스정의서"), "이동")</f>
        <v>이동</v>
      </c>
      <c r="AB29" s="3" t="s">
        <v>150</v>
      </c>
    </row>
    <row r="30" spans="1:28" ht="22.5">
      <c r="A30" s="10">
        <f t="shared" si="0"/>
        <v>26</v>
      </c>
      <c r="B30" s="12" t="str">
        <f>HYPERLINK("#"&amp;ADDRESS(MATCH($AB30,인터페이스정의서!$A:$A, 0), 1,,,"인터페이스정의서"), $AB30)</f>
        <v>IFMIBAT1033</v>
      </c>
      <c r="C30" s="12" t="s">
        <v>151</v>
      </c>
      <c r="D30" s="7" t="s">
        <v>52</v>
      </c>
      <c r="E30" s="9" t="s">
        <v>152</v>
      </c>
      <c r="F30" s="8">
        <v>0.35416666666666669</v>
      </c>
      <c r="G30" s="7" t="s">
        <v>153</v>
      </c>
      <c r="H30" s="7" t="s">
        <v>55</v>
      </c>
      <c r="I30" s="7" t="s">
        <v>56</v>
      </c>
      <c r="J30" s="7" t="s">
        <v>57</v>
      </c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6">
        <v>39</v>
      </c>
      <c r="Z30" s="5"/>
      <c r="AA30" s="36" t="str">
        <f>HYPERLINK("#"&amp;ADDRESS(MATCH($B30,인터페이스정의서!$A:$A, 0), 1,,,"인터페이스정의서"), "이동")</f>
        <v>이동</v>
      </c>
      <c r="AB30" s="3" t="s">
        <v>154</v>
      </c>
    </row>
    <row r="31" spans="1:28" ht="12">
      <c r="A31" s="10">
        <f t="shared" si="0"/>
        <v>27</v>
      </c>
      <c r="B31" s="12" t="str">
        <f>HYPERLINK("#"&amp;ADDRESS(MATCH($AB31,인터페이스정의서!$A:$A, 0), 1,,,"인터페이스정의서"), $AB31)</f>
        <v>IFMIBAT1035</v>
      </c>
      <c r="C31" s="12" t="s">
        <v>155</v>
      </c>
      <c r="D31" s="7" t="s">
        <v>52</v>
      </c>
      <c r="E31" s="9" t="s">
        <v>135</v>
      </c>
      <c r="F31" s="8">
        <v>0.75694444444444453</v>
      </c>
      <c r="G31" s="7" t="s">
        <v>156</v>
      </c>
      <c r="H31" s="7" t="s">
        <v>55</v>
      </c>
      <c r="I31" s="7" t="s">
        <v>56</v>
      </c>
      <c r="J31" s="7" t="s">
        <v>57</v>
      </c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6">
        <v>115</v>
      </c>
      <c r="Z31" s="5"/>
      <c r="AA31" s="36" t="str">
        <f>HYPERLINK("#"&amp;ADDRESS(MATCH($B31,인터페이스정의서!$A:$A, 0), 1,,,"인터페이스정의서"), "이동")</f>
        <v>이동</v>
      </c>
      <c r="AB31" s="3" t="s">
        <v>157</v>
      </c>
    </row>
    <row r="32" spans="1:28" ht="12">
      <c r="A32" s="10">
        <f t="shared" si="0"/>
        <v>28</v>
      </c>
      <c r="B32" s="12" t="str">
        <f>HYPERLINK("#"&amp;ADDRESS(MATCH($AB32,인터페이스정의서!$A:$A, 0), 1,,,"인터페이스정의서"), $AB32)</f>
        <v>IFMIBAT1036</v>
      </c>
      <c r="C32" s="12" t="s">
        <v>158</v>
      </c>
      <c r="D32" s="7" t="s">
        <v>159</v>
      </c>
      <c r="E32" s="12" t="s">
        <v>160</v>
      </c>
      <c r="F32" s="8">
        <v>0.6875</v>
      </c>
      <c r="G32" s="7" t="s">
        <v>161</v>
      </c>
      <c r="H32" s="7" t="s">
        <v>162</v>
      </c>
      <c r="I32" s="7" t="s">
        <v>56</v>
      </c>
      <c r="J32" s="7" t="s">
        <v>57</v>
      </c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6">
        <v>120</v>
      </c>
      <c r="Z32" s="5" t="s">
        <v>58</v>
      </c>
      <c r="AA32" s="36" t="str">
        <f>HYPERLINK("#"&amp;ADDRESS(MATCH($B32,인터페이스정의서!$A:$A, 0), 1,,,"인터페이스정의서"), "이동")</f>
        <v>이동</v>
      </c>
      <c r="AB32" s="3" t="s">
        <v>163</v>
      </c>
    </row>
    <row r="33" spans="1:28" ht="12">
      <c r="A33" s="10">
        <f t="shared" si="0"/>
        <v>29</v>
      </c>
      <c r="B33" s="12" t="str">
        <f>HYPERLINK("#"&amp;ADDRESS(MATCH($AB33,인터페이스정의서!$A:$A, 0), 1,,,"인터페이스정의서"), $AB33)</f>
        <v>IFMIBAT1037</v>
      </c>
      <c r="C33" s="12" t="s">
        <v>164</v>
      </c>
      <c r="D33" s="7" t="s">
        <v>159</v>
      </c>
      <c r="E33" s="9" t="s">
        <v>165</v>
      </c>
      <c r="F33" s="8">
        <v>0.75</v>
      </c>
      <c r="G33" s="7" t="s">
        <v>166</v>
      </c>
      <c r="H33" s="7" t="s">
        <v>162</v>
      </c>
      <c r="I33" s="7" t="s">
        <v>56</v>
      </c>
      <c r="J33" s="7" t="s">
        <v>57</v>
      </c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6">
        <v>120</v>
      </c>
      <c r="Z33" s="5" t="s">
        <v>58</v>
      </c>
      <c r="AA33" s="36" t="str">
        <f>HYPERLINK("#"&amp;ADDRESS(MATCH($B33,인터페이스정의서!$A:$A, 0), 1,,,"인터페이스정의서"), "이동")</f>
        <v>이동</v>
      </c>
      <c r="AB33" s="3" t="s">
        <v>167</v>
      </c>
    </row>
    <row r="34" spans="1:28">
      <c r="B34" s="33"/>
    </row>
  </sheetData>
  <autoFilter ref="A4:Z33" xr:uid="{00000000-0009-0000-0000-000002000000}"/>
  <mergeCells count="15">
    <mergeCell ref="F1:F3"/>
    <mergeCell ref="A1:A3"/>
    <mergeCell ref="B1:B3"/>
    <mergeCell ref="C1:C3"/>
    <mergeCell ref="D1:D3"/>
    <mergeCell ref="E1:E3"/>
    <mergeCell ref="Y1:Y3"/>
    <mergeCell ref="Z1:Z3"/>
    <mergeCell ref="AA1:AA3"/>
    <mergeCell ref="AB1:AB3"/>
    <mergeCell ref="G1:G3"/>
    <mergeCell ref="H1:H3"/>
    <mergeCell ref="I1:I3"/>
    <mergeCell ref="J1:X1"/>
    <mergeCell ref="J2:X2"/>
  </mergeCells>
  <phoneticPr fontId="2" type="noConversion"/>
  <conditionalFormatting sqref="B5:B33">
    <cfRule type="containsText" dxfId="151" priority="2" operator="containsText" text="수신">
      <formula>NOT(ISERROR(SEARCH("수신",B5)))</formula>
    </cfRule>
  </conditionalFormatting>
  <pageMargins left="0.70866141732283472" right="0.70866141732283472" top="0.74803149606299213" bottom="0.74803149606299213" header="0.31496062992125984" footer="0.31496062992125984"/>
  <pageSetup paperSize="9" scale="53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2">
    <pageSetUpPr fitToPage="1"/>
  </sheetPr>
  <dimension ref="A1:M399"/>
  <sheetViews>
    <sheetView zoomScaleNormal="100" zoomScaleSheetLayoutView="80" workbookViewId="0">
      <pane xSplit="2" ySplit="2" topLeftCell="C3" activePane="bottomRight" state="frozen"/>
      <selection pane="bottomRight" activeCell="C3" sqref="C3"/>
      <selection pane="bottomLeft" activeCell="D24" sqref="D24"/>
      <selection pane="topRight" activeCell="D24" sqref="D24"/>
    </sheetView>
  </sheetViews>
  <sheetFormatPr defaultRowHeight="11.25"/>
  <cols>
    <col min="1" max="1" width="9.75" style="37" bestFit="1" customWidth="1"/>
    <col min="2" max="2" width="27.625" style="37" bestFit="1" customWidth="1"/>
    <col min="3" max="3" width="6.25" style="24" bestFit="1" customWidth="1"/>
    <col min="4" max="4" width="23.5" style="37" bestFit="1" customWidth="1"/>
    <col min="5" max="5" width="13.875" style="24" customWidth="1"/>
    <col min="6" max="6" width="13.5" style="24" customWidth="1"/>
    <col min="7" max="9" width="7.25" style="26" customWidth="1"/>
    <col min="10" max="10" width="9.125" style="26" customWidth="1"/>
    <col min="11" max="11" width="46.5" style="38" customWidth="1"/>
    <col min="12" max="12" width="40.25" style="38" customWidth="1"/>
    <col min="13" max="13" width="7.375" style="25" customWidth="1"/>
    <col min="14" max="16384" width="9" style="25"/>
  </cols>
  <sheetData>
    <row r="1" spans="1:13" s="24" customFormat="1" ht="22.5">
      <c r="A1" s="39" t="s">
        <v>168</v>
      </c>
      <c r="B1" s="39" t="s">
        <v>169</v>
      </c>
      <c r="C1" s="34" t="s">
        <v>170</v>
      </c>
      <c r="D1" s="34" t="s">
        <v>171</v>
      </c>
      <c r="E1" s="40" t="s">
        <v>172</v>
      </c>
      <c r="F1" s="34" t="s">
        <v>173</v>
      </c>
      <c r="G1" s="34" t="s">
        <v>174</v>
      </c>
      <c r="H1" s="34" t="s">
        <v>175</v>
      </c>
      <c r="I1" s="34" t="s">
        <v>176</v>
      </c>
      <c r="J1" s="34" t="s">
        <v>177</v>
      </c>
      <c r="K1" s="41" t="s">
        <v>178</v>
      </c>
      <c r="L1" s="41" t="s">
        <v>5</v>
      </c>
      <c r="M1" s="42" t="s">
        <v>179</v>
      </c>
    </row>
    <row r="2" spans="1:13">
      <c r="A2" s="43"/>
      <c r="B2" s="43"/>
      <c r="C2" s="45"/>
      <c r="D2" s="46"/>
      <c r="E2" s="47"/>
      <c r="F2" s="48"/>
      <c r="G2" s="48"/>
      <c r="H2" s="48"/>
      <c r="I2" s="48"/>
      <c r="J2" s="48"/>
      <c r="K2" s="49"/>
      <c r="L2" s="49"/>
      <c r="M2" s="50"/>
    </row>
    <row r="3" spans="1:13">
      <c r="A3" s="43" t="s">
        <v>180</v>
      </c>
      <c r="B3" s="43" t="s">
        <v>181</v>
      </c>
      <c r="C3" s="51">
        <v>1</v>
      </c>
      <c r="D3" s="52" t="s">
        <v>182</v>
      </c>
      <c r="E3" s="47">
        <v>0</v>
      </c>
      <c r="F3" s="48" t="s">
        <v>183</v>
      </c>
      <c r="G3" s="48">
        <v>2</v>
      </c>
      <c r="H3" s="48"/>
      <c r="I3" s="48"/>
      <c r="J3" s="48">
        <v>2</v>
      </c>
      <c r="K3" s="63" t="s">
        <v>184</v>
      </c>
      <c r="L3" s="46"/>
      <c r="M3" s="47" t="s">
        <v>57</v>
      </c>
    </row>
    <row r="4" spans="1:13">
      <c r="A4" s="43" t="s">
        <v>180</v>
      </c>
      <c r="B4" s="43" t="s">
        <v>181</v>
      </c>
      <c r="C4" s="51">
        <v>2</v>
      </c>
      <c r="D4" s="52" t="s">
        <v>185</v>
      </c>
      <c r="E4" s="47">
        <v>0</v>
      </c>
      <c r="F4" s="48" t="s">
        <v>183</v>
      </c>
      <c r="G4" s="48">
        <v>1</v>
      </c>
      <c r="H4" s="48"/>
      <c r="I4" s="48"/>
      <c r="J4" s="48">
        <v>3</v>
      </c>
      <c r="K4" s="44">
        <v>0</v>
      </c>
      <c r="L4" s="46"/>
      <c r="M4" s="47" t="s">
        <v>57</v>
      </c>
    </row>
    <row r="5" spans="1:13">
      <c r="A5" s="43" t="s">
        <v>180</v>
      </c>
      <c r="B5" s="43" t="s">
        <v>181</v>
      </c>
      <c r="C5" s="51">
        <v>3</v>
      </c>
      <c r="D5" s="52" t="s">
        <v>186</v>
      </c>
      <c r="E5" s="47">
        <v>0</v>
      </c>
      <c r="F5" s="48" t="s">
        <v>187</v>
      </c>
      <c r="G5" s="48">
        <v>5</v>
      </c>
      <c r="H5" s="48"/>
      <c r="I5" s="48"/>
      <c r="J5" s="48">
        <v>8</v>
      </c>
      <c r="K5" s="44"/>
      <c r="L5" s="46"/>
      <c r="M5" s="47" t="s">
        <v>57</v>
      </c>
    </row>
    <row r="6" spans="1:13">
      <c r="A6" s="43" t="s">
        <v>180</v>
      </c>
      <c r="B6" s="43" t="s">
        <v>181</v>
      </c>
      <c r="C6" s="51">
        <v>4</v>
      </c>
      <c r="D6" s="52" t="s">
        <v>188</v>
      </c>
      <c r="E6" s="47">
        <v>0</v>
      </c>
      <c r="F6" s="48" t="s">
        <v>183</v>
      </c>
      <c r="G6" s="48">
        <v>8</v>
      </c>
      <c r="H6" s="48"/>
      <c r="I6" s="48"/>
      <c r="J6" s="48">
        <v>16</v>
      </c>
      <c r="K6" s="44"/>
      <c r="L6" s="46"/>
      <c r="M6" s="47" t="s">
        <v>57</v>
      </c>
    </row>
    <row r="7" spans="1:13">
      <c r="A7" s="43" t="s">
        <v>180</v>
      </c>
      <c r="B7" s="43" t="s">
        <v>181</v>
      </c>
      <c r="C7" s="51">
        <v>5</v>
      </c>
      <c r="D7" s="52" t="s">
        <v>189</v>
      </c>
      <c r="E7" s="47">
        <v>0</v>
      </c>
      <c r="F7" s="48" t="s">
        <v>183</v>
      </c>
      <c r="G7" s="48">
        <v>6</v>
      </c>
      <c r="H7" s="48" t="s">
        <v>190</v>
      </c>
      <c r="I7" s="48"/>
      <c r="J7" s="48">
        <v>22</v>
      </c>
      <c r="K7" s="44" t="s">
        <v>191</v>
      </c>
      <c r="L7" s="46"/>
      <c r="M7" s="47" t="s">
        <v>57</v>
      </c>
    </row>
    <row r="8" spans="1:13">
      <c r="A8" s="43" t="s">
        <v>180</v>
      </c>
      <c r="B8" s="43" t="s">
        <v>181</v>
      </c>
      <c r="C8" s="51">
        <v>6</v>
      </c>
      <c r="D8" s="52" t="s">
        <v>192</v>
      </c>
      <c r="E8" s="47">
        <v>0</v>
      </c>
      <c r="F8" s="48" t="s">
        <v>187</v>
      </c>
      <c r="G8" s="48">
        <v>6</v>
      </c>
      <c r="H8" s="48"/>
      <c r="I8" s="48"/>
      <c r="J8" s="48">
        <v>28</v>
      </c>
      <c r="K8" s="44"/>
      <c r="L8" s="46"/>
      <c r="M8" s="47" t="s">
        <v>57</v>
      </c>
    </row>
    <row r="9" spans="1:13">
      <c r="A9" s="43" t="s">
        <v>180</v>
      </c>
      <c r="B9" s="43" t="s">
        <v>181</v>
      </c>
      <c r="C9" s="51">
        <v>7</v>
      </c>
      <c r="D9" s="52" t="s">
        <v>193</v>
      </c>
      <c r="E9" s="47">
        <v>0</v>
      </c>
      <c r="F9" s="48" t="s">
        <v>187</v>
      </c>
      <c r="G9" s="48">
        <v>6</v>
      </c>
      <c r="H9" s="48"/>
      <c r="I9" s="48"/>
      <c r="J9" s="48">
        <v>34</v>
      </c>
      <c r="K9" s="44"/>
      <c r="L9" s="46"/>
      <c r="M9" s="47" t="s">
        <v>57</v>
      </c>
    </row>
    <row r="10" spans="1:13">
      <c r="A10" s="43" t="s">
        <v>180</v>
      </c>
      <c r="B10" s="43" t="s">
        <v>181</v>
      </c>
      <c r="C10" s="51">
        <v>8</v>
      </c>
      <c r="D10" s="52" t="s">
        <v>194</v>
      </c>
      <c r="E10" s="47">
        <v>0</v>
      </c>
      <c r="F10" s="48" t="s">
        <v>195</v>
      </c>
      <c r="G10" s="48">
        <v>8</v>
      </c>
      <c r="H10" s="48"/>
      <c r="I10" s="48"/>
      <c r="J10" s="48">
        <v>42</v>
      </c>
      <c r="K10" s="44" t="s">
        <v>196</v>
      </c>
      <c r="L10" s="46"/>
      <c r="M10" s="47" t="s">
        <v>57</v>
      </c>
    </row>
    <row r="11" spans="1:13">
      <c r="A11" s="43" t="s">
        <v>180</v>
      </c>
      <c r="B11" s="43" t="s">
        <v>181</v>
      </c>
      <c r="C11" s="51">
        <v>9</v>
      </c>
      <c r="D11" s="52" t="s">
        <v>197</v>
      </c>
      <c r="E11" s="47">
        <v>0</v>
      </c>
      <c r="F11" s="48" t="s">
        <v>195</v>
      </c>
      <c r="G11" s="48">
        <v>8</v>
      </c>
      <c r="H11" s="48"/>
      <c r="I11" s="48"/>
      <c r="J11" s="48">
        <v>50</v>
      </c>
      <c r="K11" s="44" t="s">
        <v>196</v>
      </c>
      <c r="L11" s="46"/>
      <c r="M11" s="47" t="s">
        <v>57</v>
      </c>
    </row>
    <row r="12" spans="1:13">
      <c r="A12" s="43" t="s">
        <v>180</v>
      </c>
      <c r="B12" s="43" t="s">
        <v>181</v>
      </c>
      <c r="C12" s="51">
        <v>10</v>
      </c>
      <c r="D12" s="52" t="s">
        <v>198</v>
      </c>
      <c r="E12" s="47">
        <v>0</v>
      </c>
      <c r="F12" s="48" t="s">
        <v>195</v>
      </c>
      <c r="G12" s="48">
        <v>8</v>
      </c>
      <c r="H12" s="48"/>
      <c r="I12" s="48"/>
      <c r="J12" s="48">
        <v>58</v>
      </c>
      <c r="K12" s="44" t="s">
        <v>196</v>
      </c>
      <c r="L12" s="46"/>
      <c r="M12" s="47" t="s">
        <v>57</v>
      </c>
    </row>
    <row r="13" spans="1:13">
      <c r="A13" s="43" t="s">
        <v>180</v>
      </c>
      <c r="B13" s="43" t="s">
        <v>181</v>
      </c>
      <c r="C13" s="51">
        <v>11</v>
      </c>
      <c r="D13" s="52" t="s">
        <v>199</v>
      </c>
      <c r="E13" s="47">
        <v>0</v>
      </c>
      <c r="F13" s="48" t="s">
        <v>195</v>
      </c>
      <c r="G13" s="48">
        <v>8</v>
      </c>
      <c r="H13" s="48"/>
      <c r="I13" s="48"/>
      <c r="J13" s="48">
        <v>66</v>
      </c>
      <c r="K13" s="44" t="s">
        <v>196</v>
      </c>
      <c r="L13" s="46"/>
      <c r="M13" s="47" t="s">
        <v>57</v>
      </c>
    </row>
    <row r="14" spans="1:13">
      <c r="A14" s="43" t="s">
        <v>180</v>
      </c>
      <c r="B14" s="43" t="s">
        <v>181</v>
      </c>
      <c r="C14" s="51">
        <v>12</v>
      </c>
      <c r="D14" s="52" t="s">
        <v>200</v>
      </c>
      <c r="E14" s="47">
        <v>0</v>
      </c>
      <c r="F14" s="48" t="s">
        <v>195</v>
      </c>
      <c r="G14" s="48">
        <v>8</v>
      </c>
      <c r="H14" s="48"/>
      <c r="I14" s="48"/>
      <c r="J14" s="48">
        <v>74</v>
      </c>
      <c r="K14" s="44" t="s">
        <v>196</v>
      </c>
      <c r="L14" s="46"/>
      <c r="M14" s="47" t="s">
        <v>57</v>
      </c>
    </row>
    <row r="15" spans="1:13">
      <c r="A15" s="43" t="s">
        <v>180</v>
      </c>
      <c r="B15" s="43" t="s">
        <v>181</v>
      </c>
      <c r="C15" s="51">
        <v>13</v>
      </c>
      <c r="D15" s="52" t="s">
        <v>201</v>
      </c>
      <c r="E15" s="47">
        <v>0</v>
      </c>
      <c r="F15" s="48" t="s">
        <v>187</v>
      </c>
      <c r="G15" s="48">
        <v>8</v>
      </c>
      <c r="H15" s="48"/>
      <c r="I15" s="48"/>
      <c r="J15" s="48">
        <v>82</v>
      </c>
      <c r="K15" s="44"/>
      <c r="L15" s="46"/>
      <c r="M15" s="47" t="s">
        <v>57</v>
      </c>
    </row>
    <row r="16" spans="1:13">
      <c r="A16" s="43" t="s">
        <v>180</v>
      </c>
      <c r="B16" s="43" t="s">
        <v>181</v>
      </c>
      <c r="C16" s="51">
        <v>14</v>
      </c>
      <c r="D16" s="52" t="s">
        <v>202</v>
      </c>
      <c r="E16" s="47">
        <v>0</v>
      </c>
      <c r="F16" s="48" t="s">
        <v>203</v>
      </c>
      <c r="G16" s="48">
        <v>12</v>
      </c>
      <c r="H16" s="48"/>
      <c r="I16" s="48"/>
      <c r="J16" s="48">
        <v>94</v>
      </c>
      <c r="K16" s="44"/>
      <c r="L16" s="46"/>
      <c r="M16" s="47" t="s">
        <v>57</v>
      </c>
    </row>
    <row r="17" spans="1:13">
      <c r="A17" s="43" t="s">
        <v>180</v>
      </c>
      <c r="B17" s="43" t="s">
        <v>181</v>
      </c>
      <c r="C17" s="51">
        <v>15</v>
      </c>
      <c r="D17" s="52" t="s">
        <v>204</v>
      </c>
      <c r="E17" s="47">
        <v>0</v>
      </c>
      <c r="F17" s="48" t="s">
        <v>187</v>
      </c>
      <c r="G17" s="48">
        <v>9</v>
      </c>
      <c r="H17" s="48"/>
      <c r="I17" s="48"/>
      <c r="J17" s="48">
        <v>103</v>
      </c>
      <c r="K17" s="44"/>
      <c r="L17" s="46"/>
      <c r="M17" s="47" t="s">
        <v>57</v>
      </c>
    </row>
    <row r="18" spans="1:13">
      <c r="A18" s="43" t="s">
        <v>180</v>
      </c>
      <c r="B18" s="43" t="s">
        <v>181</v>
      </c>
      <c r="C18" s="51">
        <v>16</v>
      </c>
      <c r="D18" s="52" t="s">
        <v>205</v>
      </c>
      <c r="E18" s="47">
        <v>0</v>
      </c>
      <c r="F18" s="48" t="s">
        <v>203</v>
      </c>
      <c r="G18" s="48">
        <v>11</v>
      </c>
      <c r="H18" s="48"/>
      <c r="I18" s="48"/>
      <c r="J18" s="48">
        <v>114</v>
      </c>
      <c r="K18" s="44"/>
      <c r="L18" s="46"/>
      <c r="M18" s="47" t="s">
        <v>57</v>
      </c>
    </row>
    <row r="19" spans="1:13">
      <c r="A19" s="43" t="s">
        <v>180</v>
      </c>
      <c r="B19" s="43" t="s">
        <v>181</v>
      </c>
      <c r="C19" s="51">
        <v>17</v>
      </c>
      <c r="D19" s="52" t="s">
        <v>206</v>
      </c>
      <c r="E19" s="47">
        <v>0</v>
      </c>
      <c r="F19" s="48" t="s">
        <v>183</v>
      </c>
      <c r="G19" s="48">
        <v>6</v>
      </c>
      <c r="H19" s="48" t="s">
        <v>207</v>
      </c>
      <c r="I19" s="48">
        <v>9</v>
      </c>
      <c r="J19" s="48">
        <v>120</v>
      </c>
      <c r="K19" s="44"/>
      <c r="L19" s="46"/>
      <c r="M19" s="47" t="s">
        <v>57</v>
      </c>
    </row>
    <row r="20" spans="1:13">
      <c r="A20" s="43" t="s">
        <v>208</v>
      </c>
      <c r="B20" s="43" t="s">
        <v>209</v>
      </c>
      <c r="C20" s="51">
        <v>1</v>
      </c>
      <c r="D20" s="52" t="s">
        <v>182</v>
      </c>
      <c r="E20" s="47">
        <v>0</v>
      </c>
      <c r="F20" s="48" t="s">
        <v>183</v>
      </c>
      <c r="G20" s="48">
        <v>2</v>
      </c>
      <c r="H20" s="48"/>
      <c r="I20" s="48"/>
      <c r="J20" s="48">
        <v>2</v>
      </c>
      <c r="K20" s="63" t="s">
        <v>184</v>
      </c>
      <c r="L20" s="46"/>
      <c r="M20" s="47" t="s">
        <v>57</v>
      </c>
    </row>
    <row r="21" spans="1:13">
      <c r="A21" s="43" t="s">
        <v>208</v>
      </c>
      <c r="B21" s="43" t="s">
        <v>209</v>
      </c>
      <c r="C21" s="51">
        <v>2</v>
      </c>
      <c r="D21" s="52" t="s">
        <v>185</v>
      </c>
      <c r="E21" s="47">
        <v>0</v>
      </c>
      <c r="F21" s="48" t="s">
        <v>183</v>
      </c>
      <c r="G21" s="48">
        <v>1</v>
      </c>
      <c r="H21" s="48"/>
      <c r="I21" s="48"/>
      <c r="J21" s="48">
        <v>3</v>
      </c>
      <c r="K21" s="44">
        <v>0</v>
      </c>
      <c r="L21" s="46"/>
      <c r="M21" s="47" t="s">
        <v>57</v>
      </c>
    </row>
    <row r="22" spans="1:13">
      <c r="A22" s="43" t="s">
        <v>208</v>
      </c>
      <c r="B22" s="43" t="s">
        <v>209</v>
      </c>
      <c r="C22" s="51">
        <v>3</v>
      </c>
      <c r="D22" s="52" t="s">
        <v>186</v>
      </c>
      <c r="E22" s="47">
        <v>0</v>
      </c>
      <c r="F22" s="48" t="s">
        <v>187</v>
      </c>
      <c r="G22" s="48">
        <v>5</v>
      </c>
      <c r="H22" s="48"/>
      <c r="I22" s="48"/>
      <c r="J22" s="48">
        <v>8</v>
      </c>
      <c r="K22" s="44"/>
      <c r="L22" s="46"/>
      <c r="M22" s="47" t="s">
        <v>57</v>
      </c>
    </row>
    <row r="23" spans="1:13">
      <c r="A23" s="43" t="s">
        <v>208</v>
      </c>
      <c r="B23" s="43" t="s">
        <v>209</v>
      </c>
      <c r="C23" s="51">
        <v>4</v>
      </c>
      <c r="D23" s="52" t="s">
        <v>188</v>
      </c>
      <c r="E23" s="47">
        <v>0</v>
      </c>
      <c r="F23" s="48" t="s">
        <v>183</v>
      </c>
      <c r="G23" s="48">
        <v>8</v>
      </c>
      <c r="H23" s="48"/>
      <c r="I23" s="48"/>
      <c r="J23" s="48">
        <v>16</v>
      </c>
      <c r="K23" s="44"/>
      <c r="L23" s="46"/>
      <c r="M23" s="47" t="s">
        <v>57</v>
      </c>
    </row>
    <row r="24" spans="1:13">
      <c r="A24" s="43" t="s">
        <v>208</v>
      </c>
      <c r="B24" s="43" t="s">
        <v>209</v>
      </c>
      <c r="C24" s="51">
        <v>5</v>
      </c>
      <c r="D24" s="52" t="s">
        <v>189</v>
      </c>
      <c r="E24" s="47">
        <v>0</v>
      </c>
      <c r="F24" s="48" t="s">
        <v>183</v>
      </c>
      <c r="G24" s="48">
        <v>6</v>
      </c>
      <c r="H24" s="48" t="s">
        <v>190</v>
      </c>
      <c r="I24" s="48"/>
      <c r="J24" s="48">
        <v>22</v>
      </c>
      <c r="K24" s="44" t="s">
        <v>191</v>
      </c>
      <c r="L24" s="46"/>
      <c r="M24" s="47" t="s">
        <v>57</v>
      </c>
    </row>
    <row r="25" spans="1:13">
      <c r="A25" s="43" t="s">
        <v>208</v>
      </c>
      <c r="B25" s="43" t="s">
        <v>209</v>
      </c>
      <c r="C25" s="51">
        <v>6</v>
      </c>
      <c r="D25" s="52" t="s">
        <v>192</v>
      </c>
      <c r="E25" s="47">
        <v>0</v>
      </c>
      <c r="F25" s="48" t="s">
        <v>187</v>
      </c>
      <c r="G25" s="48">
        <v>6</v>
      </c>
      <c r="H25" s="48"/>
      <c r="I25" s="48"/>
      <c r="J25" s="48">
        <v>28</v>
      </c>
      <c r="K25" s="44"/>
      <c r="L25" s="46"/>
      <c r="M25" s="47" t="s">
        <v>57</v>
      </c>
    </row>
    <row r="26" spans="1:13">
      <c r="A26" s="43" t="s">
        <v>208</v>
      </c>
      <c r="B26" s="43" t="s">
        <v>209</v>
      </c>
      <c r="C26" s="51">
        <v>7</v>
      </c>
      <c r="D26" s="52" t="s">
        <v>193</v>
      </c>
      <c r="E26" s="47">
        <v>0</v>
      </c>
      <c r="F26" s="48" t="s">
        <v>187</v>
      </c>
      <c r="G26" s="48">
        <v>6</v>
      </c>
      <c r="H26" s="48"/>
      <c r="I26" s="48"/>
      <c r="J26" s="48">
        <v>34</v>
      </c>
      <c r="K26" s="44"/>
      <c r="L26" s="46"/>
      <c r="M26" s="47" t="s">
        <v>57</v>
      </c>
    </row>
    <row r="27" spans="1:13">
      <c r="A27" s="43" t="s">
        <v>208</v>
      </c>
      <c r="B27" s="43" t="s">
        <v>209</v>
      </c>
      <c r="C27" s="51">
        <v>8</v>
      </c>
      <c r="D27" s="52" t="s">
        <v>210</v>
      </c>
      <c r="E27" s="47">
        <v>0</v>
      </c>
      <c r="F27" s="48" t="s">
        <v>195</v>
      </c>
      <c r="G27" s="48">
        <v>8</v>
      </c>
      <c r="H27" s="48"/>
      <c r="I27" s="48"/>
      <c r="J27" s="48">
        <v>42</v>
      </c>
      <c r="K27" s="44" t="s">
        <v>196</v>
      </c>
      <c r="L27" s="46"/>
      <c r="M27" s="47" t="s">
        <v>57</v>
      </c>
    </row>
    <row r="28" spans="1:13">
      <c r="A28" s="43" t="s">
        <v>208</v>
      </c>
      <c r="B28" s="43" t="s">
        <v>209</v>
      </c>
      <c r="C28" s="51">
        <v>9</v>
      </c>
      <c r="D28" s="52" t="s">
        <v>197</v>
      </c>
      <c r="E28" s="47">
        <v>0</v>
      </c>
      <c r="F28" s="48" t="s">
        <v>195</v>
      </c>
      <c r="G28" s="48">
        <v>8</v>
      </c>
      <c r="H28" s="48"/>
      <c r="I28" s="48"/>
      <c r="J28" s="48">
        <v>50</v>
      </c>
      <c r="K28" s="44" t="s">
        <v>196</v>
      </c>
      <c r="L28" s="46"/>
      <c r="M28" s="47" t="s">
        <v>57</v>
      </c>
    </row>
    <row r="29" spans="1:13">
      <c r="A29" s="43" t="s">
        <v>208</v>
      </c>
      <c r="B29" s="43" t="s">
        <v>209</v>
      </c>
      <c r="C29" s="51">
        <v>10</v>
      </c>
      <c r="D29" s="52" t="s">
        <v>198</v>
      </c>
      <c r="E29" s="47">
        <v>0</v>
      </c>
      <c r="F29" s="48" t="s">
        <v>195</v>
      </c>
      <c r="G29" s="48">
        <v>8</v>
      </c>
      <c r="H29" s="48"/>
      <c r="I29" s="48"/>
      <c r="J29" s="48">
        <v>58</v>
      </c>
      <c r="K29" s="44" t="s">
        <v>196</v>
      </c>
      <c r="L29" s="46"/>
      <c r="M29" s="47" t="s">
        <v>57</v>
      </c>
    </row>
    <row r="30" spans="1:13">
      <c r="A30" s="43" t="s">
        <v>208</v>
      </c>
      <c r="B30" s="43" t="s">
        <v>209</v>
      </c>
      <c r="C30" s="51">
        <v>11</v>
      </c>
      <c r="D30" s="52" t="s">
        <v>199</v>
      </c>
      <c r="E30" s="47">
        <v>0</v>
      </c>
      <c r="F30" s="48" t="s">
        <v>195</v>
      </c>
      <c r="G30" s="48">
        <v>8</v>
      </c>
      <c r="H30" s="48"/>
      <c r="I30" s="48"/>
      <c r="J30" s="48">
        <v>66</v>
      </c>
      <c r="K30" s="44" t="s">
        <v>196</v>
      </c>
      <c r="L30" s="46"/>
      <c r="M30" s="47" t="s">
        <v>57</v>
      </c>
    </row>
    <row r="31" spans="1:13">
      <c r="A31" s="43" t="s">
        <v>208</v>
      </c>
      <c r="B31" s="43" t="s">
        <v>209</v>
      </c>
      <c r="C31" s="51">
        <v>12</v>
      </c>
      <c r="D31" s="52" t="s">
        <v>200</v>
      </c>
      <c r="E31" s="47">
        <v>0</v>
      </c>
      <c r="F31" s="48" t="s">
        <v>195</v>
      </c>
      <c r="G31" s="48">
        <v>8</v>
      </c>
      <c r="H31" s="48"/>
      <c r="I31" s="48"/>
      <c r="J31" s="48">
        <v>74</v>
      </c>
      <c r="K31" s="44" t="s">
        <v>196</v>
      </c>
      <c r="L31" s="46"/>
      <c r="M31" s="47" t="s">
        <v>57</v>
      </c>
    </row>
    <row r="32" spans="1:13">
      <c r="A32" s="43" t="s">
        <v>208</v>
      </c>
      <c r="B32" s="43" t="s">
        <v>209</v>
      </c>
      <c r="C32" s="51">
        <v>13</v>
      </c>
      <c r="D32" s="52" t="s">
        <v>201</v>
      </c>
      <c r="E32" s="47">
        <v>0</v>
      </c>
      <c r="F32" s="48" t="s">
        <v>187</v>
      </c>
      <c r="G32" s="48">
        <v>8</v>
      </c>
      <c r="H32" s="48"/>
      <c r="I32" s="48"/>
      <c r="J32" s="48">
        <v>82</v>
      </c>
      <c r="K32" s="44"/>
      <c r="L32" s="46"/>
      <c r="M32" s="47" t="s">
        <v>57</v>
      </c>
    </row>
    <row r="33" spans="1:13">
      <c r="A33" s="43" t="s">
        <v>208</v>
      </c>
      <c r="B33" s="43" t="s">
        <v>209</v>
      </c>
      <c r="C33" s="51">
        <v>14</v>
      </c>
      <c r="D33" s="52" t="s">
        <v>202</v>
      </c>
      <c r="E33" s="47">
        <v>0</v>
      </c>
      <c r="F33" s="48" t="s">
        <v>203</v>
      </c>
      <c r="G33" s="48">
        <v>12</v>
      </c>
      <c r="H33" s="48"/>
      <c r="I33" s="48"/>
      <c r="J33" s="48">
        <v>94</v>
      </c>
      <c r="K33" s="44"/>
      <c r="L33" s="46"/>
      <c r="M33" s="47" t="s">
        <v>57</v>
      </c>
    </row>
    <row r="34" spans="1:13">
      <c r="A34" s="43" t="s">
        <v>208</v>
      </c>
      <c r="B34" s="43" t="s">
        <v>209</v>
      </c>
      <c r="C34" s="51">
        <v>15</v>
      </c>
      <c r="D34" s="52" t="s">
        <v>204</v>
      </c>
      <c r="E34" s="47">
        <v>0</v>
      </c>
      <c r="F34" s="48" t="s">
        <v>187</v>
      </c>
      <c r="G34" s="48">
        <v>9</v>
      </c>
      <c r="H34" s="48"/>
      <c r="I34" s="48"/>
      <c r="J34" s="48">
        <v>103</v>
      </c>
      <c r="K34" s="44"/>
      <c r="L34" s="46"/>
      <c r="M34" s="47" t="s">
        <v>57</v>
      </c>
    </row>
    <row r="35" spans="1:13">
      <c r="A35" s="43" t="s">
        <v>208</v>
      </c>
      <c r="B35" s="43" t="s">
        <v>209</v>
      </c>
      <c r="C35" s="51">
        <v>16</v>
      </c>
      <c r="D35" s="52" t="s">
        <v>205</v>
      </c>
      <c r="E35" s="47">
        <v>0</v>
      </c>
      <c r="F35" s="48" t="s">
        <v>203</v>
      </c>
      <c r="G35" s="48">
        <v>11</v>
      </c>
      <c r="H35" s="48"/>
      <c r="I35" s="48"/>
      <c r="J35" s="48">
        <v>114</v>
      </c>
      <c r="K35" s="44"/>
      <c r="L35" s="46"/>
      <c r="M35" s="47" t="s">
        <v>57</v>
      </c>
    </row>
    <row r="36" spans="1:13">
      <c r="A36" s="43" t="s">
        <v>208</v>
      </c>
      <c r="B36" s="43" t="s">
        <v>209</v>
      </c>
      <c r="C36" s="51">
        <v>17</v>
      </c>
      <c r="D36" s="52" t="s">
        <v>211</v>
      </c>
      <c r="E36" s="47">
        <v>0</v>
      </c>
      <c r="F36" s="48" t="s">
        <v>183</v>
      </c>
      <c r="G36" s="48">
        <v>6</v>
      </c>
      <c r="H36" s="48" t="s">
        <v>207</v>
      </c>
      <c r="I36" s="48">
        <v>9</v>
      </c>
      <c r="J36" s="48">
        <v>120</v>
      </c>
      <c r="K36" s="44"/>
      <c r="L36" s="46"/>
      <c r="M36" s="47" t="s">
        <v>57</v>
      </c>
    </row>
    <row r="37" spans="1:13">
      <c r="A37" s="43" t="s">
        <v>212</v>
      </c>
      <c r="B37" s="43" t="s">
        <v>213</v>
      </c>
      <c r="C37" s="51">
        <v>1</v>
      </c>
      <c r="D37" s="52" t="s">
        <v>182</v>
      </c>
      <c r="E37" s="47">
        <v>0</v>
      </c>
      <c r="F37" s="48" t="s">
        <v>183</v>
      </c>
      <c r="G37" s="48">
        <v>2</v>
      </c>
      <c r="H37" s="48"/>
      <c r="I37" s="48"/>
      <c r="J37" s="48">
        <v>2</v>
      </c>
      <c r="K37" s="63" t="s">
        <v>184</v>
      </c>
      <c r="L37" s="46"/>
      <c r="M37" s="47" t="s">
        <v>57</v>
      </c>
    </row>
    <row r="38" spans="1:13">
      <c r="A38" s="43" t="s">
        <v>212</v>
      </c>
      <c r="B38" s="43" t="s">
        <v>213</v>
      </c>
      <c r="C38" s="51">
        <v>2</v>
      </c>
      <c r="D38" s="52" t="s">
        <v>185</v>
      </c>
      <c r="E38" s="47">
        <v>0</v>
      </c>
      <c r="F38" s="48" t="s">
        <v>183</v>
      </c>
      <c r="G38" s="48">
        <v>1</v>
      </c>
      <c r="H38" s="48"/>
      <c r="I38" s="48"/>
      <c r="J38" s="48">
        <v>3</v>
      </c>
      <c r="K38" s="44">
        <v>0</v>
      </c>
      <c r="L38" s="46"/>
      <c r="M38" s="47" t="s">
        <v>57</v>
      </c>
    </row>
    <row r="39" spans="1:13">
      <c r="A39" s="43" t="s">
        <v>212</v>
      </c>
      <c r="B39" s="43" t="s">
        <v>213</v>
      </c>
      <c r="C39" s="51">
        <v>3</v>
      </c>
      <c r="D39" s="52" t="s">
        <v>186</v>
      </c>
      <c r="E39" s="47">
        <v>0</v>
      </c>
      <c r="F39" s="48" t="s">
        <v>187</v>
      </c>
      <c r="G39" s="48">
        <v>5</v>
      </c>
      <c r="H39" s="48"/>
      <c r="I39" s="48"/>
      <c r="J39" s="48">
        <v>8</v>
      </c>
      <c r="K39" s="44"/>
      <c r="L39" s="46"/>
      <c r="M39" s="47" t="s">
        <v>57</v>
      </c>
    </row>
    <row r="40" spans="1:13">
      <c r="A40" s="43" t="s">
        <v>212</v>
      </c>
      <c r="B40" s="43" t="s">
        <v>213</v>
      </c>
      <c r="C40" s="51">
        <v>4</v>
      </c>
      <c r="D40" s="52" t="s">
        <v>188</v>
      </c>
      <c r="E40" s="47">
        <v>0</v>
      </c>
      <c r="F40" s="48" t="s">
        <v>183</v>
      </c>
      <c r="G40" s="48">
        <v>8</v>
      </c>
      <c r="H40" s="48"/>
      <c r="I40" s="48"/>
      <c r="J40" s="48">
        <v>16</v>
      </c>
      <c r="K40" s="44"/>
      <c r="L40" s="46"/>
      <c r="M40" s="47" t="s">
        <v>57</v>
      </c>
    </row>
    <row r="41" spans="1:13">
      <c r="A41" s="43" t="s">
        <v>212</v>
      </c>
      <c r="B41" s="43" t="s">
        <v>213</v>
      </c>
      <c r="C41" s="51">
        <v>5</v>
      </c>
      <c r="D41" s="52" t="s">
        <v>189</v>
      </c>
      <c r="E41" s="47">
        <v>0</v>
      </c>
      <c r="F41" s="48" t="s">
        <v>183</v>
      </c>
      <c r="G41" s="48">
        <v>6</v>
      </c>
      <c r="H41" s="48" t="s">
        <v>190</v>
      </c>
      <c r="I41" s="48"/>
      <c r="J41" s="48">
        <v>22</v>
      </c>
      <c r="K41" s="44" t="s">
        <v>191</v>
      </c>
      <c r="L41" s="46"/>
      <c r="M41" s="47" t="s">
        <v>57</v>
      </c>
    </row>
    <row r="42" spans="1:13">
      <c r="A42" s="43" t="s">
        <v>212</v>
      </c>
      <c r="B42" s="43" t="s">
        <v>213</v>
      </c>
      <c r="C42" s="51">
        <v>6</v>
      </c>
      <c r="D42" s="52" t="s">
        <v>192</v>
      </c>
      <c r="E42" s="47">
        <v>0</v>
      </c>
      <c r="F42" s="48" t="s">
        <v>187</v>
      </c>
      <c r="G42" s="48">
        <v>6</v>
      </c>
      <c r="H42" s="48"/>
      <c r="I42" s="48"/>
      <c r="J42" s="48">
        <v>28</v>
      </c>
      <c r="K42" s="44"/>
      <c r="L42" s="46"/>
      <c r="M42" s="47" t="s">
        <v>57</v>
      </c>
    </row>
    <row r="43" spans="1:13">
      <c r="A43" s="43" t="s">
        <v>212</v>
      </c>
      <c r="B43" s="43" t="s">
        <v>213</v>
      </c>
      <c r="C43" s="51">
        <v>7</v>
      </c>
      <c r="D43" s="52" t="s">
        <v>193</v>
      </c>
      <c r="E43" s="47">
        <v>0</v>
      </c>
      <c r="F43" s="48" t="s">
        <v>187</v>
      </c>
      <c r="G43" s="48">
        <v>6</v>
      </c>
      <c r="H43" s="48"/>
      <c r="I43" s="48"/>
      <c r="J43" s="48">
        <v>34</v>
      </c>
      <c r="K43" s="44"/>
      <c r="L43" s="46"/>
      <c r="M43" s="47" t="s">
        <v>57</v>
      </c>
    </row>
    <row r="44" spans="1:13">
      <c r="A44" s="43" t="s">
        <v>212</v>
      </c>
      <c r="B44" s="43" t="s">
        <v>213</v>
      </c>
      <c r="C44" s="51">
        <v>8</v>
      </c>
      <c r="D44" s="52" t="s">
        <v>210</v>
      </c>
      <c r="E44" s="47">
        <v>0</v>
      </c>
      <c r="F44" s="48" t="s">
        <v>195</v>
      </c>
      <c r="G44" s="48">
        <v>8</v>
      </c>
      <c r="H44" s="48"/>
      <c r="I44" s="48"/>
      <c r="J44" s="48">
        <v>42</v>
      </c>
      <c r="K44" s="44" t="s">
        <v>196</v>
      </c>
      <c r="L44" s="46"/>
      <c r="M44" s="47" t="s">
        <v>57</v>
      </c>
    </row>
    <row r="45" spans="1:13">
      <c r="A45" s="43" t="s">
        <v>212</v>
      </c>
      <c r="B45" s="43" t="s">
        <v>213</v>
      </c>
      <c r="C45" s="51">
        <v>9</v>
      </c>
      <c r="D45" s="52" t="s">
        <v>197</v>
      </c>
      <c r="E45" s="47">
        <v>0</v>
      </c>
      <c r="F45" s="48" t="s">
        <v>195</v>
      </c>
      <c r="G45" s="48">
        <v>8</v>
      </c>
      <c r="H45" s="48"/>
      <c r="I45" s="48"/>
      <c r="J45" s="48">
        <v>50</v>
      </c>
      <c r="K45" s="44" t="s">
        <v>196</v>
      </c>
      <c r="L45" s="46"/>
      <c r="M45" s="47" t="s">
        <v>57</v>
      </c>
    </row>
    <row r="46" spans="1:13">
      <c r="A46" s="43" t="s">
        <v>212</v>
      </c>
      <c r="B46" s="43" t="s">
        <v>213</v>
      </c>
      <c r="C46" s="51">
        <v>10</v>
      </c>
      <c r="D46" s="52" t="s">
        <v>198</v>
      </c>
      <c r="E46" s="47">
        <v>0</v>
      </c>
      <c r="F46" s="48" t="s">
        <v>195</v>
      </c>
      <c r="G46" s="48">
        <v>8</v>
      </c>
      <c r="H46" s="48"/>
      <c r="I46" s="48"/>
      <c r="J46" s="48">
        <v>58</v>
      </c>
      <c r="K46" s="44" t="s">
        <v>196</v>
      </c>
      <c r="L46" s="46"/>
      <c r="M46" s="47" t="s">
        <v>57</v>
      </c>
    </row>
    <row r="47" spans="1:13">
      <c r="A47" s="43" t="s">
        <v>212</v>
      </c>
      <c r="B47" s="43" t="s">
        <v>213</v>
      </c>
      <c r="C47" s="51">
        <v>11</v>
      </c>
      <c r="D47" s="52" t="s">
        <v>199</v>
      </c>
      <c r="E47" s="47">
        <v>0</v>
      </c>
      <c r="F47" s="48" t="s">
        <v>195</v>
      </c>
      <c r="G47" s="48">
        <v>8</v>
      </c>
      <c r="H47" s="48"/>
      <c r="I47" s="48"/>
      <c r="J47" s="48">
        <v>66</v>
      </c>
      <c r="K47" s="44" t="s">
        <v>196</v>
      </c>
      <c r="L47" s="46"/>
      <c r="M47" s="47" t="s">
        <v>57</v>
      </c>
    </row>
    <row r="48" spans="1:13">
      <c r="A48" s="43" t="s">
        <v>212</v>
      </c>
      <c r="B48" s="43" t="s">
        <v>213</v>
      </c>
      <c r="C48" s="51">
        <v>12</v>
      </c>
      <c r="D48" s="52" t="s">
        <v>200</v>
      </c>
      <c r="E48" s="47">
        <v>0</v>
      </c>
      <c r="F48" s="48" t="s">
        <v>195</v>
      </c>
      <c r="G48" s="48">
        <v>8</v>
      </c>
      <c r="H48" s="48"/>
      <c r="I48" s="48"/>
      <c r="J48" s="48">
        <v>74</v>
      </c>
      <c r="K48" s="44" t="s">
        <v>196</v>
      </c>
      <c r="L48" s="46"/>
      <c r="M48" s="47" t="s">
        <v>57</v>
      </c>
    </row>
    <row r="49" spans="1:13">
      <c r="A49" s="43" t="s">
        <v>212</v>
      </c>
      <c r="B49" s="43" t="s">
        <v>213</v>
      </c>
      <c r="C49" s="51">
        <v>13</v>
      </c>
      <c r="D49" s="52" t="s">
        <v>201</v>
      </c>
      <c r="E49" s="47">
        <v>0</v>
      </c>
      <c r="F49" s="48" t="s">
        <v>187</v>
      </c>
      <c r="G49" s="48">
        <v>8</v>
      </c>
      <c r="H49" s="48"/>
      <c r="I49" s="48"/>
      <c r="J49" s="48">
        <v>82</v>
      </c>
      <c r="K49" s="44"/>
      <c r="L49" s="46"/>
      <c r="M49" s="47" t="s">
        <v>57</v>
      </c>
    </row>
    <row r="50" spans="1:13">
      <c r="A50" s="43" t="s">
        <v>212</v>
      </c>
      <c r="B50" s="43" t="s">
        <v>213</v>
      </c>
      <c r="C50" s="51">
        <v>14</v>
      </c>
      <c r="D50" s="52" t="s">
        <v>202</v>
      </c>
      <c r="E50" s="47">
        <v>0</v>
      </c>
      <c r="F50" s="48" t="s">
        <v>203</v>
      </c>
      <c r="G50" s="48">
        <v>12</v>
      </c>
      <c r="H50" s="48"/>
      <c r="I50" s="48"/>
      <c r="J50" s="48">
        <v>94</v>
      </c>
      <c r="K50" s="44"/>
      <c r="L50" s="46"/>
      <c r="M50" s="47" t="s">
        <v>57</v>
      </c>
    </row>
    <row r="51" spans="1:13">
      <c r="A51" s="43" t="s">
        <v>212</v>
      </c>
      <c r="B51" s="43" t="s">
        <v>213</v>
      </c>
      <c r="C51" s="51">
        <v>15</v>
      </c>
      <c r="D51" s="52" t="s">
        <v>204</v>
      </c>
      <c r="E51" s="47">
        <v>0</v>
      </c>
      <c r="F51" s="48" t="s">
        <v>187</v>
      </c>
      <c r="G51" s="48">
        <v>9</v>
      </c>
      <c r="H51" s="48"/>
      <c r="I51" s="48"/>
      <c r="J51" s="48">
        <v>103</v>
      </c>
      <c r="K51" s="44"/>
      <c r="L51" s="46"/>
      <c r="M51" s="47" t="s">
        <v>57</v>
      </c>
    </row>
    <row r="52" spans="1:13">
      <c r="A52" s="43" t="s">
        <v>212</v>
      </c>
      <c r="B52" s="43" t="s">
        <v>213</v>
      </c>
      <c r="C52" s="51">
        <v>16</v>
      </c>
      <c r="D52" s="52" t="s">
        <v>205</v>
      </c>
      <c r="E52" s="47">
        <v>0</v>
      </c>
      <c r="F52" s="48" t="s">
        <v>203</v>
      </c>
      <c r="G52" s="48">
        <v>11</v>
      </c>
      <c r="H52" s="48"/>
      <c r="I52" s="48"/>
      <c r="J52" s="48">
        <v>114</v>
      </c>
      <c r="K52" s="44"/>
      <c r="L52" s="46"/>
      <c r="M52" s="47" t="s">
        <v>57</v>
      </c>
    </row>
    <row r="53" spans="1:13">
      <c r="A53" s="43" t="s">
        <v>212</v>
      </c>
      <c r="B53" s="43" t="s">
        <v>213</v>
      </c>
      <c r="C53" s="51">
        <v>17</v>
      </c>
      <c r="D53" s="52" t="s">
        <v>206</v>
      </c>
      <c r="E53" s="47">
        <v>0</v>
      </c>
      <c r="F53" s="48" t="s">
        <v>183</v>
      </c>
      <c r="G53" s="48">
        <v>6</v>
      </c>
      <c r="H53" s="48" t="s">
        <v>207</v>
      </c>
      <c r="I53" s="48">
        <v>9</v>
      </c>
      <c r="J53" s="48">
        <v>120</v>
      </c>
      <c r="K53" s="44"/>
      <c r="L53" s="46"/>
      <c r="M53" s="47" t="s">
        <v>57</v>
      </c>
    </row>
    <row r="54" spans="1:13">
      <c r="A54" s="43" t="s">
        <v>214</v>
      </c>
      <c r="B54" s="43" t="s">
        <v>215</v>
      </c>
      <c r="C54" s="51">
        <v>1</v>
      </c>
      <c r="D54" s="52" t="s">
        <v>182</v>
      </c>
      <c r="E54" s="47">
        <v>0</v>
      </c>
      <c r="F54" s="48" t="s">
        <v>183</v>
      </c>
      <c r="G54" s="48">
        <v>2</v>
      </c>
      <c r="H54" s="48"/>
      <c r="I54" s="48"/>
      <c r="J54" s="48">
        <v>2</v>
      </c>
      <c r="K54" s="63" t="s">
        <v>184</v>
      </c>
      <c r="L54" s="46"/>
      <c r="M54" s="47" t="s">
        <v>57</v>
      </c>
    </row>
    <row r="55" spans="1:13">
      <c r="A55" s="43" t="s">
        <v>214</v>
      </c>
      <c r="B55" s="43" t="s">
        <v>215</v>
      </c>
      <c r="C55" s="51">
        <v>2</v>
      </c>
      <c r="D55" s="52" t="s">
        <v>185</v>
      </c>
      <c r="E55" s="47">
        <v>0</v>
      </c>
      <c r="F55" s="48" t="s">
        <v>183</v>
      </c>
      <c r="G55" s="48">
        <v>1</v>
      </c>
      <c r="H55" s="48"/>
      <c r="I55" s="48"/>
      <c r="J55" s="48">
        <v>3</v>
      </c>
      <c r="K55" s="44">
        <v>0</v>
      </c>
      <c r="L55" s="46"/>
      <c r="M55" s="47" t="s">
        <v>57</v>
      </c>
    </row>
    <row r="56" spans="1:13">
      <c r="A56" s="43" t="s">
        <v>214</v>
      </c>
      <c r="B56" s="43" t="s">
        <v>215</v>
      </c>
      <c r="C56" s="51">
        <v>3</v>
      </c>
      <c r="D56" s="52" t="s">
        <v>186</v>
      </c>
      <c r="E56" s="47">
        <v>0</v>
      </c>
      <c r="F56" s="48" t="s">
        <v>187</v>
      </c>
      <c r="G56" s="48">
        <v>5</v>
      </c>
      <c r="H56" s="48"/>
      <c r="I56" s="48"/>
      <c r="J56" s="48">
        <v>8</v>
      </c>
      <c r="K56" s="44"/>
      <c r="L56" s="46"/>
      <c r="M56" s="47" t="s">
        <v>57</v>
      </c>
    </row>
    <row r="57" spans="1:13">
      <c r="A57" s="43" t="s">
        <v>214</v>
      </c>
      <c r="B57" s="43" t="s">
        <v>215</v>
      </c>
      <c r="C57" s="51">
        <v>4</v>
      </c>
      <c r="D57" s="52" t="s">
        <v>188</v>
      </c>
      <c r="E57" s="47">
        <v>0</v>
      </c>
      <c r="F57" s="48" t="s">
        <v>183</v>
      </c>
      <c r="G57" s="48">
        <v>8</v>
      </c>
      <c r="H57" s="48"/>
      <c r="I57" s="48"/>
      <c r="J57" s="48">
        <v>16</v>
      </c>
      <c r="K57" s="44"/>
      <c r="L57" s="46"/>
      <c r="M57" s="47" t="s">
        <v>57</v>
      </c>
    </row>
    <row r="58" spans="1:13">
      <c r="A58" s="43" t="s">
        <v>214</v>
      </c>
      <c r="B58" s="43" t="s">
        <v>215</v>
      </c>
      <c r="C58" s="51">
        <v>5</v>
      </c>
      <c r="D58" s="52" t="s">
        <v>189</v>
      </c>
      <c r="E58" s="47">
        <v>0</v>
      </c>
      <c r="F58" s="48" t="s">
        <v>183</v>
      </c>
      <c r="G58" s="48">
        <v>6</v>
      </c>
      <c r="H58" s="48" t="s">
        <v>190</v>
      </c>
      <c r="I58" s="48"/>
      <c r="J58" s="48">
        <v>22</v>
      </c>
      <c r="K58" s="44" t="s">
        <v>191</v>
      </c>
      <c r="L58" s="46"/>
      <c r="M58" s="47" t="s">
        <v>57</v>
      </c>
    </row>
    <row r="59" spans="1:13">
      <c r="A59" s="43" t="s">
        <v>214</v>
      </c>
      <c r="B59" s="43" t="s">
        <v>215</v>
      </c>
      <c r="C59" s="51">
        <v>6</v>
      </c>
      <c r="D59" s="52" t="s">
        <v>192</v>
      </c>
      <c r="E59" s="47">
        <v>0</v>
      </c>
      <c r="F59" s="48" t="s">
        <v>187</v>
      </c>
      <c r="G59" s="48">
        <v>6</v>
      </c>
      <c r="H59" s="48"/>
      <c r="I59" s="48"/>
      <c r="J59" s="48">
        <v>28</v>
      </c>
      <c r="K59" s="44"/>
      <c r="L59" s="46"/>
      <c r="M59" s="47" t="s">
        <v>57</v>
      </c>
    </row>
    <row r="60" spans="1:13">
      <c r="A60" s="43" t="s">
        <v>214</v>
      </c>
      <c r="B60" s="43" t="s">
        <v>215</v>
      </c>
      <c r="C60" s="51">
        <v>7</v>
      </c>
      <c r="D60" s="52" t="s">
        <v>193</v>
      </c>
      <c r="E60" s="47">
        <v>0</v>
      </c>
      <c r="F60" s="48" t="s">
        <v>187</v>
      </c>
      <c r="G60" s="48">
        <v>6</v>
      </c>
      <c r="H60" s="48"/>
      <c r="I60" s="48"/>
      <c r="J60" s="48">
        <v>34</v>
      </c>
      <c r="K60" s="44"/>
      <c r="L60" s="46"/>
      <c r="M60" s="47" t="s">
        <v>57</v>
      </c>
    </row>
    <row r="61" spans="1:13">
      <c r="A61" s="43" t="s">
        <v>214</v>
      </c>
      <c r="B61" s="43" t="s">
        <v>215</v>
      </c>
      <c r="C61" s="51">
        <v>8</v>
      </c>
      <c r="D61" s="52" t="s">
        <v>210</v>
      </c>
      <c r="E61" s="47">
        <v>0</v>
      </c>
      <c r="F61" s="48" t="s">
        <v>195</v>
      </c>
      <c r="G61" s="48">
        <v>8</v>
      </c>
      <c r="H61" s="48"/>
      <c r="I61" s="48"/>
      <c r="J61" s="48">
        <v>42</v>
      </c>
      <c r="K61" s="44" t="s">
        <v>196</v>
      </c>
      <c r="L61" s="46"/>
      <c r="M61" s="47" t="s">
        <v>57</v>
      </c>
    </row>
    <row r="62" spans="1:13">
      <c r="A62" s="43" t="s">
        <v>214</v>
      </c>
      <c r="B62" s="43" t="s">
        <v>215</v>
      </c>
      <c r="C62" s="51">
        <v>9</v>
      </c>
      <c r="D62" s="52" t="s">
        <v>197</v>
      </c>
      <c r="E62" s="47">
        <v>0</v>
      </c>
      <c r="F62" s="48" t="s">
        <v>195</v>
      </c>
      <c r="G62" s="48">
        <v>8</v>
      </c>
      <c r="H62" s="48"/>
      <c r="I62" s="48"/>
      <c r="J62" s="48">
        <v>50</v>
      </c>
      <c r="K62" s="44" t="s">
        <v>196</v>
      </c>
      <c r="L62" s="46"/>
      <c r="M62" s="47" t="s">
        <v>57</v>
      </c>
    </row>
    <row r="63" spans="1:13">
      <c r="A63" s="43" t="s">
        <v>214</v>
      </c>
      <c r="B63" s="43" t="s">
        <v>215</v>
      </c>
      <c r="C63" s="51">
        <v>10</v>
      </c>
      <c r="D63" s="52" t="s">
        <v>198</v>
      </c>
      <c r="E63" s="47">
        <v>0</v>
      </c>
      <c r="F63" s="48" t="s">
        <v>195</v>
      </c>
      <c r="G63" s="48">
        <v>8</v>
      </c>
      <c r="H63" s="48"/>
      <c r="I63" s="48"/>
      <c r="J63" s="48">
        <v>58</v>
      </c>
      <c r="K63" s="44" t="s">
        <v>196</v>
      </c>
      <c r="L63" s="46"/>
      <c r="M63" s="47" t="s">
        <v>57</v>
      </c>
    </row>
    <row r="64" spans="1:13">
      <c r="A64" s="43" t="s">
        <v>214</v>
      </c>
      <c r="B64" s="43" t="s">
        <v>215</v>
      </c>
      <c r="C64" s="51">
        <v>11</v>
      </c>
      <c r="D64" s="52" t="s">
        <v>199</v>
      </c>
      <c r="E64" s="47">
        <v>0</v>
      </c>
      <c r="F64" s="48" t="s">
        <v>195</v>
      </c>
      <c r="G64" s="48">
        <v>8</v>
      </c>
      <c r="H64" s="48"/>
      <c r="I64" s="48"/>
      <c r="J64" s="48">
        <v>66</v>
      </c>
      <c r="K64" s="44" t="s">
        <v>196</v>
      </c>
      <c r="L64" s="46"/>
      <c r="M64" s="47" t="s">
        <v>57</v>
      </c>
    </row>
    <row r="65" spans="1:13">
      <c r="A65" s="43" t="s">
        <v>214</v>
      </c>
      <c r="B65" s="43" t="s">
        <v>215</v>
      </c>
      <c r="C65" s="51">
        <v>12</v>
      </c>
      <c r="D65" s="52" t="s">
        <v>200</v>
      </c>
      <c r="E65" s="47">
        <v>0</v>
      </c>
      <c r="F65" s="48" t="s">
        <v>195</v>
      </c>
      <c r="G65" s="48">
        <v>8</v>
      </c>
      <c r="H65" s="48"/>
      <c r="I65" s="48"/>
      <c r="J65" s="48">
        <v>74</v>
      </c>
      <c r="K65" s="44" t="s">
        <v>196</v>
      </c>
      <c r="L65" s="46"/>
      <c r="M65" s="47" t="s">
        <v>57</v>
      </c>
    </row>
    <row r="66" spans="1:13">
      <c r="A66" s="43" t="s">
        <v>214</v>
      </c>
      <c r="B66" s="43" t="s">
        <v>215</v>
      </c>
      <c r="C66" s="51">
        <v>13</v>
      </c>
      <c r="D66" s="52" t="s">
        <v>201</v>
      </c>
      <c r="E66" s="47">
        <v>0</v>
      </c>
      <c r="F66" s="48" t="s">
        <v>187</v>
      </c>
      <c r="G66" s="48">
        <v>8</v>
      </c>
      <c r="H66" s="48"/>
      <c r="I66" s="48"/>
      <c r="J66" s="48">
        <v>82</v>
      </c>
      <c r="K66" s="44"/>
      <c r="L66" s="46"/>
      <c r="M66" s="47" t="s">
        <v>57</v>
      </c>
    </row>
    <row r="67" spans="1:13">
      <c r="A67" s="43" t="s">
        <v>214</v>
      </c>
      <c r="B67" s="43" t="s">
        <v>215</v>
      </c>
      <c r="C67" s="51">
        <v>14</v>
      </c>
      <c r="D67" s="52" t="s">
        <v>202</v>
      </c>
      <c r="E67" s="47">
        <v>0</v>
      </c>
      <c r="F67" s="48" t="s">
        <v>203</v>
      </c>
      <c r="G67" s="48">
        <v>12</v>
      </c>
      <c r="H67" s="48"/>
      <c r="I67" s="48"/>
      <c r="J67" s="48">
        <v>94</v>
      </c>
      <c r="K67" s="44"/>
      <c r="L67" s="46"/>
      <c r="M67" s="47" t="s">
        <v>57</v>
      </c>
    </row>
    <row r="68" spans="1:13">
      <c r="A68" s="43" t="s">
        <v>214</v>
      </c>
      <c r="B68" s="43" t="s">
        <v>215</v>
      </c>
      <c r="C68" s="51">
        <v>15</v>
      </c>
      <c r="D68" s="52" t="s">
        <v>204</v>
      </c>
      <c r="E68" s="47">
        <v>0</v>
      </c>
      <c r="F68" s="48" t="s">
        <v>187</v>
      </c>
      <c r="G68" s="48">
        <v>9</v>
      </c>
      <c r="H68" s="48"/>
      <c r="I68" s="48"/>
      <c r="J68" s="48">
        <v>103</v>
      </c>
      <c r="K68" s="44"/>
      <c r="L68" s="46"/>
      <c r="M68" s="47" t="s">
        <v>57</v>
      </c>
    </row>
    <row r="69" spans="1:13">
      <c r="A69" s="43" t="s">
        <v>214</v>
      </c>
      <c r="B69" s="43" t="s">
        <v>215</v>
      </c>
      <c r="C69" s="51">
        <v>16</v>
      </c>
      <c r="D69" s="52" t="s">
        <v>205</v>
      </c>
      <c r="E69" s="47">
        <v>0</v>
      </c>
      <c r="F69" s="48" t="s">
        <v>203</v>
      </c>
      <c r="G69" s="48">
        <v>11</v>
      </c>
      <c r="H69" s="48"/>
      <c r="I69" s="48"/>
      <c r="J69" s="48">
        <v>114</v>
      </c>
      <c r="K69" s="44"/>
      <c r="L69" s="46"/>
      <c r="M69" s="47" t="s">
        <v>57</v>
      </c>
    </row>
    <row r="70" spans="1:13">
      <c r="A70" s="43" t="s">
        <v>214</v>
      </c>
      <c r="B70" s="43" t="s">
        <v>215</v>
      </c>
      <c r="C70" s="51">
        <v>17</v>
      </c>
      <c r="D70" s="52" t="s">
        <v>206</v>
      </c>
      <c r="E70" s="47">
        <v>0</v>
      </c>
      <c r="F70" s="48" t="s">
        <v>183</v>
      </c>
      <c r="G70" s="48">
        <v>6</v>
      </c>
      <c r="H70" s="48" t="s">
        <v>207</v>
      </c>
      <c r="I70" s="48">
        <v>9</v>
      </c>
      <c r="J70" s="48">
        <v>120</v>
      </c>
      <c r="K70" s="44"/>
      <c r="L70" s="46"/>
      <c r="M70" s="47" t="s">
        <v>57</v>
      </c>
    </row>
    <row r="71" spans="1:13">
      <c r="A71" s="43" t="s">
        <v>216</v>
      </c>
      <c r="B71" s="43" t="s">
        <v>217</v>
      </c>
      <c r="C71" s="51">
        <v>1</v>
      </c>
      <c r="D71" s="52" t="s">
        <v>182</v>
      </c>
      <c r="E71" s="47">
        <v>0</v>
      </c>
      <c r="F71" s="48" t="s">
        <v>183</v>
      </c>
      <c r="G71" s="48">
        <v>2</v>
      </c>
      <c r="H71" s="48"/>
      <c r="I71" s="48"/>
      <c r="J71" s="48">
        <v>2</v>
      </c>
      <c r="K71" s="63" t="s">
        <v>184</v>
      </c>
      <c r="L71" s="46"/>
      <c r="M71" s="47" t="s">
        <v>57</v>
      </c>
    </row>
    <row r="72" spans="1:13">
      <c r="A72" s="43" t="s">
        <v>216</v>
      </c>
      <c r="B72" s="43" t="s">
        <v>217</v>
      </c>
      <c r="C72" s="51">
        <v>2</v>
      </c>
      <c r="D72" s="52" t="s">
        <v>185</v>
      </c>
      <c r="E72" s="47">
        <v>0</v>
      </c>
      <c r="F72" s="48" t="s">
        <v>183</v>
      </c>
      <c r="G72" s="48">
        <v>1</v>
      </c>
      <c r="H72" s="48"/>
      <c r="I72" s="48"/>
      <c r="J72" s="48">
        <v>3</v>
      </c>
      <c r="K72" s="44">
        <v>0</v>
      </c>
      <c r="L72" s="46"/>
      <c r="M72" s="47" t="s">
        <v>57</v>
      </c>
    </row>
    <row r="73" spans="1:13">
      <c r="A73" s="43" t="s">
        <v>216</v>
      </c>
      <c r="B73" s="43" t="s">
        <v>217</v>
      </c>
      <c r="C73" s="51">
        <v>3</v>
      </c>
      <c r="D73" s="52" t="s">
        <v>186</v>
      </c>
      <c r="E73" s="47">
        <v>0</v>
      </c>
      <c r="F73" s="48" t="s">
        <v>187</v>
      </c>
      <c r="G73" s="48">
        <v>5</v>
      </c>
      <c r="H73" s="48"/>
      <c r="I73" s="48"/>
      <c r="J73" s="48">
        <v>8</v>
      </c>
      <c r="K73" s="44"/>
      <c r="L73" s="46"/>
      <c r="M73" s="47" t="s">
        <v>57</v>
      </c>
    </row>
    <row r="74" spans="1:13">
      <c r="A74" s="43" t="s">
        <v>216</v>
      </c>
      <c r="B74" s="43" t="s">
        <v>217</v>
      </c>
      <c r="C74" s="51">
        <v>4</v>
      </c>
      <c r="D74" s="52" t="s">
        <v>188</v>
      </c>
      <c r="E74" s="47">
        <v>0</v>
      </c>
      <c r="F74" s="48" t="s">
        <v>183</v>
      </c>
      <c r="G74" s="48">
        <v>8</v>
      </c>
      <c r="H74" s="48"/>
      <c r="I74" s="48"/>
      <c r="J74" s="48">
        <v>16</v>
      </c>
      <c r="K74" s="44"/>
      <c r="L74" s="46"/>
      <c r="M74" s="47" t="s">
        <v>57</v>
      </c>
    </row>
    <row r="75" spans="1:13">
      <c r="A75" s="43" t="s">
        <v>216</v>
      </c>
      <c r="B75" s="43" t="s">
        <v>217</v>
      </c>
      <c r="C75" s="51">
        <v>5</v>
      </c>
      <c r="D75" s="52" t="s">
        <v>189</v>
      </c>
      <c r="E75" s="47">
        <v>0</v>
      </c>
      <c r="F75" s="48" t="s">
        <v>183</v>
      </c>
      <c r="G75" s="48">
        <v>6</v>
      </c>
      <c r="H75" s="48" t="s">
        <v>190</v>
      </c>
      <c r="I75" s="48"/>
      <c r="J75" s="48">
        <v>22</v>
      </c>
      <c r="K75" s="44" t="s">
        <v>191</v>
      </c>
      <c r="L75" s="46"/>
      <c r="M75" s="47" t="s">
        <v>57</v>
      </c>
    </row>
    <row r="76" spans="1:13">
      <c r="A76" s="43" t="s">
        <v>216</v>
      </c>
      <c r="B76" s="43" t="s">
        <v>217</v>
      </c>
      <c r="C76" s="51">
        <v>6</v>
      </c>
      <c r="D76" s="52" t="s">
        <v>192</v>
      </c>
      <c r="E76" s="47">
        <v>0</v>
      </c>
      <c r="F76" s="48" t="s">
        <v>187</v>
      </c>
      <c r="G76" s="48">
        <v>6</v>
      </c>
      <c r="H76" s="48"/>
      <c r="I76" s="48"/>
      <c r="J76" s="48">
        <v>28</v>
      </c>
      <c r="K76" s="44"/>
      <c r="L76" s="46"/>
      <c r="M76" s="47" t="s">
        <v>57</v>
      </c>
    </row>
    <row r="77" spans="1:13">
      <c r="A77" s="43" t="s">
        <v>216</v>
      </c>
      <c r="B77" s="43" t="s">
        <v>217</v>
      </c>
      <c r="C77" s="51">
        <v>7</v>
      </c>
      <c r="D77" s="52" t="s">
        <v>193</v>
      </c>
      <c r="E77" s="47">
        <v>0</v>
      </c>
      <c r="F77" s="48" t="s">
        <v>187</v>
      </c>
      <c r="G77" s="48">
        <v>6</v>
      </c>
      <c r="H77" s="48"/>
      <c r="I77" s="48"/>
      <c r="J77" s="48">
        <v>34</v>
      </c>
      <c r="K77" s="44"/>
      <c r="L77" s="46"/>
      <c r="M77" s="47" t="s">
        <v>57</v>
      </c>
    </row>
    <row r="78" spans="1:13">
      <c r="A78" s="43" t="s">
        <v>216</v>
      </c>
      <c r="B78" s="43" t="s">
        <v>217</v>
      </c>
      <c r="C78" s="51">
        <v>8</v>
      </c>
      <c r="D78" s="52" t="s">
        <v>210</v>
      </c>
      <c r="E78" s="47">
        <v>0</v>
      </c>
      <c r="F78" s="48" t="s">
        <v>195</v>
      </c>
      <c r="G78" s="48">
        <v>8</v>
      </c>
      <c r="H78" s="48"/>
      <c r="I78" s="48"/>
      <c r="J78" s="48">
        <v>42</v>
      </c>
      <c r="K78" s="44" t="s">
        <v>196</v>
      </c>
      <c r="L78" s="46"/>
      <c r="M78" s="47" t="s">
        <v>57</v>
      </c>
    </row>
    <row r="79" spans="1:13">
      <c r="A79" s="43" t="s">
        <v>216</v>
      </c>
      <c r="B79" s="43" t="s">
        <v>217</v>
      </c>
      <c r="C79" s="51">
        <v>9</v>
      </c>
      <c r="D79" s="52" t="s">
        <v>197</v>
      </c>
      <c r="E79" s="47">
        <v>0</v>
      </c>
      <c r="F79" s="48" t="s">
        <v>195</v>
      </c>
      <c r="G79" s="48">
        <v>8</v>
      </c>
      <c r="H79" s="48"/>
      <c r="I79" s="48"/>
      <c r="J79" s="48">
        <v>50</v>
      </c>
      <c r="K79" s="44" t="s">
        <v>196</v>
      </c>
      <c r="L79" s="46"/>
      <c r="M79" s="47" t="s">
        <v>57</v>
      </c>
    </row>
    <row r="80" spans="1:13">
      <c r="A80" s="43" t="s">
        <v>216</v>
      </c>
      <c r="B80" s="43" t="s">
        <v>217</v>
      </c>
      <c r="C80" s="51">
        <v>10</v>
      </c>
      <c r="D80" s="52" t="s">
        <v>198</v>
      </c>
      <c r="E80" s="47">
        <v>0</v>
      </c>
      <c r="F80" s="48" t="s">
        <v>195</v>
      </c>
      <c r="G80" s="48">
        <v>8</v>
      </c>
      <c r="H80" s="48"/>
      <c r="I80" s="48"/>
      <c r="J80" s="48">
        <v>58</v>
      </c>
      <c r="K80" s="44" t="s">
        <v>196</v>
      </c>
      <c r="L80" s="46"/>
      <c r="M80" s="47" t="s">
        <v>57</v>
      </c>
    </row>
    <row r="81" spans="1:13">
      <c r="A81" s="43" t="s">
        <v>216</v>
      </c>
      <c r="B81" s="43" t="s">
        <v>217</v>
      </c>
      <c r="C81" s="51">
        <v>11</v>
      </c>
      <c r="D81" s="52" t="s">
        <v>199</v>
      </c>
      <c r="E81" s="47">
        <v>0</v>
      </c>
      <c r="F81" s="48" t="s">
        <v>195</v>
      </c>
      <c r="G81" s="48">
        <v>8</v>
      </c>
      <c r="H81" s="48"/>
      <c r="I81" s="48"/>
      <c r="J81" s="48">
        <v>66</v>
      </c>
      <c r="K81" s="44" t="s">
        <v>196</v>
      </c>
      <c r="L81" s="46"/>
      <c r="M81" s="47" t="s">
        <v>57</v>
      </c>
    </row>
    <row r="82" spans="1:13">
      <c r="A82" s="43" t="s">
        <v>216</v>
      </c>
      <c r="B82" s="43" t="s">
        <v>217</v>
      </c>
      <c r="C82" s="51">
        <v>12</v>
      </c>
      <c r="D82" s="52" t="s">
        <v>200</v>
      </c>
      <c r="E82" s="47">
        <v>0</v>
      </c>
      <c r="F82" s="48" t="s">
        <v>195</v>
      </c>
      <c r="G82" s="48">
        <v>8</v>
      </c>
      <c r="H82" s="48"/>
      <c r="I82" s="48"/>
      <c r="J82" s="48">
        <v>74</v>
      </c>
      <c r="K82" s="44" t="s">
        <v>196</v>
      </c>
      <c r="L82" s="46"/>
      <c r="M82" s="47" t="s">
        <v>57</v>
      </c>
    </row>
    <row r="83" spans="1:13">
      <c r="A83" s="43" t="s">
        <v>216</v>
      </c>
      <c r="B83" s="43" t="s">
        <v>217</v>
      </c>
      <c r="C83" s="51">
        <v>13</v>
      </c>
      <c r="D83" s="52" t="s">
        <v>201</v>
      </c>
      <c r="E83" s="47">
        <v>0</v>
      </c>
      <c r="F83" s="48" t="s">
        <v>187</v>
      </c>
      <c r="G83" s="48">
        <v>8</v>
      </c>
      <c r="H83" s="48"/>
      <c r="I83" s="48"/>
      <c r="J83" s="48">
        <v>82</v>
      </c>
      <c r="K83" s="44"/>
      <c r="L83" s="46"/>
      <c r="M83" s="47" t="s">
        <v>57</v>
      </c>
    </row>
    <row r="84" spans="1:13">
      <c r="A84" s="43" t="s">
        <v>216</v>
      </c>
      <c r="B84" s="43" t="s">
        <v>217</v>
      </c>
      <c r="C84" s="51">
        <v>14</v>
      </c>
      <c r="D84" s="52" t="s">
        <v>202</v>
      </c>
      <c r="E84" s="47">
        <v>0</v>
      </c>
      <c r="F84" s="48" t="s">
        <v>203</v>
      </c>
      <c r="G84" s="48">
        <v>12</v>
      </c>
      <c r="H84" s="48"/>
      <c r="I84" s="48"/>
      <c r="J84" s="48">
        <v>94</v>
      </c>
      <c r="K84" s="44"/>
      <c r="L84" s="46"/>
      <c r="M84" s="47" t="s">
        <v>57</v>
      </c>
    </row>
    <row r="85" spans="1:13">
      <c r="A85" s="43" t="s">
        <v>216</v>
      </c>
      <c r="B85" s="43" t="s">
        <v>217</v>
      </c>
      <c r="C85" s="51">
        <v>15</v>
      </c>
      <c r="D85" s="52" t="s">
        <v>204</v>
      </c>
      <c r="E85" s="47">
        <v>0</v>
      </c>
      <c r="F85" s="48" t="s">
        <v>187</v>
      </c>
      <c r="G85" s="48">
        <v>9</v>
      </c>
      <c r="H85" s="48"/>
      <c r="I85" s="48"/>
      <c r="J85" s="48">
        <v>103</v>
      </c>
      <c r="K85" s="44"/>
      <c r="L85" s="46"/>
      <c r="M85" s="47" t="s">
        <v>57</v>
      </c>
    </row>
    <row r="86" spans="1:13">
      <c r="A86" s="43" t="s">
        <v>216</v>
      </c>
      <c r="B86" s="43" t="s">
        <v>217</v>
      </c>
      <c r="C86" s="51">
        <v>16</v>
      </c>
      <c r="D86" s="52" t="s">
        <v>205</v>
      </c>
      <c r="E86" s="47">
        <v>0</v>
      </c>
      <c r="F86" s="48" t="s">
        <v>203</v>
      </c>
      <c r="G86" s="48">
        <v>11</v>
      </c>
      <c r="H86" s="48"/>
      <c r="I86" s="48"/>
      <c r="J86" s="48">
        <v>114</v>
      </c>
      <c r="K86" s="44"/>
      <c r="L86" s="46"/>
      <c r="M86" s="47" t="s">
        <v>57</v>
      </c>
    </row>
    <row r="87" spans="1:13">
      <c r="A87" s="43" t="s">
        <v>216</v>
      </c>
      <c r="B87" s="43" t="s">
        <v>217</v>
      </c>
      <c r="C87" s="51">
        <v>17</v>
      </c>
      <c r="D87" s="52" t="s">
        <v>206</v>
      </c>
      <c r="E87" s="47">
        <v>0</v>
      </c>
      <c r="F87" s="48" t="s">
        <v>183</v>
      </c>
      <c r="G87" s="48">
        <v>6</v>
      </c>
      <c r="H87" s="48" t="s">
        <v>207</v>
      </c>
      <c r="I87" s="48">
        <v>9</v>
      </c>
      <c r="J87" s="48">
        <v>120</v>
      </c>
      <c r="K87" s="44"/>
      <c r="L87" s="46"/>
      <c r="M87" s="47" t="s">
        <v>57</v>
      </c>
    </row>
    <row r="88" spans="1:13">
      <c r="A88" s="43" t="s">
        <v>218</v>
      </c>
      <c r="B88" s="43" t="s">
        <v>219</v>
      </c>
      <c r="C88" s="51">
        <v>1</v>
      </c>
      <c r="D88" s="52" t="s">
        <v>182</v>
      </c>
      <c r="E88" s="47">
        <v>0</v>
      </c>
      <c r="F88" s="48" t="s">
        <v>183</v>
      </c>
      <c r="G88" s="48">
        <v>2</v>
      </c>
      <c r="H88" s="48"/>
      <c r="I88" s="48"/>
      <c r="J88" s="48">
        <v>2</v>
      </c>
      <c r="K88" s="63" t="s">
        <v>184</v>
      </c>
      <c r="L88" s="46"/>
      <c r="M88" s="47" t="s">
        <v>57</v>
      </c>
    </row>
    <row r="89" spans="1:13">
      <c r="A89" s="43" t="s">
        <v>218</v>
      </c>
      <c r="B89" s="43" t="s">
        <v>219</v>
      </c>
      <c r="C89" s="51">
        <v>2</v>
      </c>
      <c r="D89" s="52" t="s">
        <v>185</v>
      </c>
      <c r="E89" s="47">
        <v>0</v>
      </c>
      <c r="F89" s="48" t="s">
        <v>183</v>
      </c>
      <c r="G89" s="48">
        <v>1</v>
      </c>
      <c r="H89" s="48"/>
      <c r="I89" s="48"/>
      <c r="J89" s="48">
        <v>3</v>
      </c>
      <c r="K89" s="44">
        <v>0</v>
      </c>
      <c r="L89" s="46"/>
      <c r="M89" s="47" t="s">
        <v>57</v>
      </c>
    </row>
    <row r="90" spans="1:13">
      <c r="A90" s="43" t="s">
        <v>218</v>
      </c>
      <c r="B90" s="43" t="s">
        <v>219</v>
      </c>
      <c r="C90" s="51">
        <v>3</v>
      </c>
      <c r="D90" s="52" t="s">
        <v>186</v>
      </c>
      <c r="E90" s="47">
        <v>0</v>
      </c>
      <c r="F90" s="48" t="s">
        <v>187</v>
      </c>
      <c r="G90" s="48">
        <v>5</v>
      </c>
      <c r="H90" s="48"/>
      <c r="I90" s="48"/>
      <c r="J90" s="48">
        <v>8</v>
      </c>
      <c r="K90" s="44"/>
      <c r="L90" s="46"/>
      <c r="M90" s="47" t="s">
        <v>57</v>
      </c>
    </row>
    <row r="91" spans="1:13">
      <c r="A91" s="43" t="s">
        <v>218</v>
      </c>
      <c r="B91" s="43" t="s">
        <v>219</v>
      </c>
      <c r="C91" s="51">
        <v>4</v>
      </c>
      <c r="D91" s="52" t="s">
        <v>188</v>
      </c>
      <c r="E91" s="47">
        <v>0</v>
      </c>
      <c r="F91" s="48" t="s">
        <v>183</v>
      </c>
      <c r="G91" s="48">
        <v>8</v>
      </c>
      <c r="H91" s="48"/>
      <c r="I91" s="48"/>
      <c r="J91" s="48">
        <v>16</v>
      </c>
      <c r="K91" s="44"/>
      <c r="L91" s="46"/>
      <c r="M91" s="47" t="s">
        <v>57</v>
      </c>
    </row>
    <row r="92" spans="1:13">
      <c r="A92" s="43" t="s">
        <v>218</v>
      </c>
      <c r="B92" s="43" t="s">
        <v>219</v>
      </c>
      <c r="C92" s="51">
        <v>5</v>
      </c>
      <c r="D92" s="52" t="s">
        <v>189</v>
      </c>
      <c r="E92" s="47">
        <v>0</v>
      </c>
      <c r="F92" s="48" t="s">
        <v>183</v>
      </c>
      <c r="G92" s="48">
        <v>6</v>
      </c>
      <c r="H92" s="48" t="s">
        <v>190</v>
      </c>
      <c r="I92" s="48"/>
      <c r="J92" s="48">
        <v>22</v>
      </c>
      <c r="K92" s="44" t="s">
        <v>191</v>
      </c>
      <c r="L92" s="46"/>
      <c r="M92" s="47" t="s">
        <v>57</v>
      </c>
    </row>
    <row r="93" spans="1:13">
      <c r="A93" s="43" t="s">
        <v>218</v>
      </c>
      <c r="B93" s="43" t="s">
        <v>219</v>
      </c>
      <c r="C93" s="51">
        <v>6</v>
      </c>
      <c r="D93" s="52" t="s">
        <v>192</v>
      </c>
      <c r="E93" s="47">
        <v>0</v>
      </c>
      <c r="F93" s="48" t="s">
        <v>187</v>
      </c>
      <c r="G93" s="48">
        <v>6</v>
      </c>
      <c r="H93" s="48"/>
      <c r="I93" s="48"/>
      <c r="J93" s="48">
        <v>28</v>
      </c>
      <c r="K93" s="44"/>
      <c r="L93" s="46"/>
      <c r="M93" s="47" t="s">
        <v>57</v>
      </c>
    </row>
    <row r="94" spans="1:13">
      <c r="A94" s="43" t="s">
        <v>218</v>
      </c>
      <c r="B94" s="43" t="s">
        <v>219</v>
      </c>
      <c r="C94" s="51">
        <v>7</v>
      </c>
      <c r="D94" s="52" t="s">
        <v>193</v>
      </c>
      <c r="E94" s="47">
        <v>0</v>
      </c>
      <c r="F94" s="48" t="s">
        <v>187</v>
      </c>
      <c r="G94" s="48">
        <v>6</v>
      </c>
      <c r="H94" s="48"/>
      <c r="I94" s="48"/>
      <c r="J94" s="48">
        <v>34</v>
      </c>
      <c r="K94" s="44"/>
      <c r="L94" s="46"/>
      <c r="M94" s="47" t="s">
        <v>57</v>
      </c>
    </row>
    <row r="95" spans="1:13">
      <c r="A95" s="43" t="s">
        <v>218</v>
      </c>
      <c r="B95" s="43" t="s">
        <v>219</v>
      </c>
      <c r="C95" s="51">
        <v>8</v>
      </c>
      <c r="D95" s="52" t="s">
        <v>210</v>
      </c>
      <c r="E95" s="47">
        <v>0</v>
      </c>
      <c r="F95" s="48" t="s">
        <v>195</v>
      </c>
      <c r="G95" s="48">
        <v>8</v>
      </c>
      <c r="H95" s="48"/>
      <c r="I95" s="48"/>
      <c r="J95" s="48">
        <v>42</v>
      </c>
      <c r="K95" s="44" t="s">
        <v>196</v>
      </c>
      <c r="L95" s="46"/>
      <c r="M95" s="47" t="s">
        <v>57</v>
      </c>
    </row>
    <row r="96" spans="1:13">
      <c r="A96" s="43" t="s">
        <v>218</v>
      </c>
      <c r="B96" s="43" t="s">
        <v>219</v>
      </c>
      <c r="C96" s="51">
        <v>9</v>
      </c>
      <c r="D96" s="52" t="s">
        <v>197</v>
      </c>
      <c r="E96" s="47">
        <v>0</v>
      </c>
      <c r="F96" s="48" t="s">
        <v>195</v>
      </c>
      <c r="G96" s="48">
        <v>8</v>
      </c>
      <c r="H96" s="48"/>
      <c r="I96" s="48"/>
      <c r="J96" s="48">
        <v>50</v>
      </c>
      <c r="K96" s="44" t="s">
        <v>196</v>
      </c>
      <c r="L96" s="46"/>
      <c r="M96" s="47" t="s">
        <v>57</v>
      </c>
    </row>
    <row r="97" spans="1:13">
      <c r="A97" s="43" t="s">
        <v>218</v>
      </c>
      <c r="B97" s="43" t="s">
        <v>219</v>
      </c>
      <c r="C97" s="51">
        <v>10</v>
      </c>
      <c r="D97" s="52" t="s">
        <v>198</v>
      </c>
      <c r="E97" s="47">
        <v>0</v>
      </c>
      <c r="F97" s="48" t="s">
        <v>195</v>
      </c>
      <c r="G97" s="48">
        <v>8</v>
      </c>
      <c r="H97" s="48"/>
      <c r="I97" s="48"/>
      <c r="J97" s="48">
        <v>58</v>
      </c>
      <c r="K97" s="44" t="s">
        <v>196</v>
      </c>
      <c r="L97" s="46"/>
      <c r="M97" s="47" t="s">
        <v>57</v>
      </c>
    </row>
    <row r="98" spans="1:13">
      <c r="A98" s="43" t="s">
        <v>218</v>
      </c>
      <c r="B98" s="43" t="s">
        <v>219</v>
      </c>
      <c r="C98" s="51">
        <v>11</v>
      </c>
      <c r="D98" s="52" t="s">
        <v>199</v>
      </c>
      <c r="E98" s="47">
        <v>0</v>
      </c>
      <c r="F98" s="48" t="s">
        <v>195</v>
      </c>
      <c r="G98" s="48">
        <v>8</v>
      </c>
      <c r="H98" s="48"/>
      <c r="I98" s="48"/>
      <c r="J98" s="48">
        <v>66</v>
      </c>
      <c r="K98" s="44" t="s">
        <v>196</v>
      </c>
      <c r="L98" s="46"/>
      <c r="M98" s="47" t="s">
        <v>57</v>
      </c>
    </row>
    <row r="99" spans="1:13">
      <c r="A99" s="43" t="s">
        <v>218</v>
      </c>
      <c r="B99" s="43" t="s">
        <v>219</v>
      </c>
      <c r="C99" s="51">
        <v>12</v>
      </c>
      <c r="D99" s="52" t="s">
        <v>200</v>
      </c>
      <c r="E99" s="47">
        <v>0</v>
      </c>
      <c r="F99" s="48" t="s">
        <v>195</v>
      </c>
      <c r="G99" s="48">
        <v>8</v>
      </c>
      <c r="H99" s="48"/>
      <c r="I99" s="48"/>
      <c r="J99" s="48">
        <v>74</v>
      </c>
      <c r="K99" s="44" t="s">
        <v>196</v>
      </c>
      <c r="L99" s="46"/>
      <c r="M99" s="47" t="s">
        <v>57</v>
      </c>
    </row>
    <row r="100" spans="1:13">
      <c r="A100" s="43" t="s">
        <v>218</v>
      </c>
      <c r="B100" s="43" t="s">
        <v>219</v>
      </c>
      <c r="C100" s="51">
        <v>13</v>
      </c>
      <c r="D100" s="52" t="s">
        <v>201</v>
      </c>
      <c r="E100" s="47">
        <v>0</v>
      </c>
      <c r="F100" s="48" t="s">
        <v>187</v>
      </c>
      <c r="G100" s="48">
        <v>8</v>
      </c>
      <c r="H100" s="48"/>
      <c r="I100" s="48"/>
      <c r="J100" s="48">
        <v>82</v>
      </c>
      <c r="K100" s="44"/>
      <c r="L100" s="46"/>
      <c r="M100" s="47" t="s">
        <v>57</v>
      </c>
    </row>
    <row r="101" spans="1:13">
      <c r="A101" s="43" t="s">
        <v>218</v>
      </c>
      <c r="B101" s="43" t="s">
        <v>219</v>
      </c>
      <c r="C101" s="51">
        <v>14</v>
      </c>
      <c r="D101" s="52" t="s">
        <v>202</v>
      </c>
      <c r="E101" s="47">
        <v>0</v>
      </c>
      <c r="F101" s="48" t="s">
        <v>203</v>
      </c>
      <c r="G101" s="48">
        <v>12</v>
      </c>
      <c r="H101" s="48"/>
      <c r="I101" s="48"/>
      <c r="J101" s="48">
        <v>94</v>
      </c>
      <c r="K101" s="44"/>
      <c r="L101" s="46"/>
      <c r="M101" s="47" t="s">
        <v>57</v>
      </c>
    </row>
    <row r="102" spans="1:13">
      <c r="A102" s="43" t="s">
        <v>218</v>
      </c>
      <c r="B102" s="43" t="s">
        <v>219</v>
      </c>
      <c r="C102" s="51">
        <v>15</v>
      </c>
      <c r="D102" s="52" t="s">
        <v>204</v>
      </c>
      <c r="E102" s="47">
        <v>0</v>
      </c>
      <c r="F102" s="48" t="s">
        <v>187</v>
      </c>
      <c r="G102" s="48">
        <v>9</v>
      </c>
      <c r="H102" s="48"/>
      <c r="I102" s="48"/>
      <c r="J102" s="48">
        <v>103</v>
      </c>
      <c r="K102" s="44"/>
      <c r="L102" s="46"/>
      <c r="M102" s="47" t="s">
        <v>57</v>
      </c>
    </row>
    <row r="103" spans="1:13">
      <c r="A103" s="43" t="s">
        <v>218</v>
      </c>
      <c r="B103" s="43" t="s">
        <v>219</v>
      </c>
      <c r="C103" s="51">
        <v>16</v>
      </c>
      <c r="D103" s="52" t="s">
        <v>205</v>
      </c>
      <c r="E103" s="47">
        <v>0</v>
      </c>
      <c r="F103" s="48" t="s">
        <v>203</v>
      </c>
      <c r="G103" s="48">
        <v>11</v>
      </c>
      <c r="H103" s="48"/>
      <c r="I103" s="48"/>
      <c r="J103" s="48">
        <v>114</v>
      </c>
      <c r="K103" s="44"/>
      <c r="L103" s="46"/>
      <c r="M103" s="47" t="s">
        <v>57</v>
      </c>
    </row>
    <row r="104" spans="1:13">
      <c r="A104" s="43" t="s">
        <v>218</v>
      </c>
      <c r="B104" s="43" t="s">
        <v>219</v>
      </c>
      <c r="C104" s="51">
        <v>17</v>
      </c>
      <c r="D104" s="52" t="s">
        <v>206</v>
      </c>
      <c r="E104" s="47">
        <v>0</v>
      </c>
      <c r="F104" s="48" t="s">
        <v>183</v>
      </c>
      <c r="G104" s="48">
        <v>6</v>
      </c>
      <c r="H104" s="48" t="s">
        <v>207</v>
      </c>
      <c r="I104" s="48">
        <v>9</v>
      </c>
      <c r="J104" s="48">
        <v>120</v>
      </c>
      <c r="K104" s="44"/>
      <c r="L104" s="46"/>
      <c r="M104" s="47" t="s">
        <v>57</v>
      </c>
    </row>
    <row r="105" spans="1:13">
      <c r="A105" s="43" t="s">
        <v>220</v>
      </c>
      <c r="B105" s="43" t="s">
        <v>221</v>
      </c>
      <c r="C105" s="51">
        <v>1</v>
      </c>
      <c r="D105" s="52" t="s">
        <v>182</v>
      </c>
      <c r="E105" s="47">
        <v>0</v>
      </c>
      <c r="F105" s="48" t="s">
        <v>183</v>
      </c>
      <c r="G105" s="48">
        <v>2</v>
      </c>
      <c r="H105" s="48"/>
      <c r="I105" s="48"/>
      <c r="J105" s="48">
        <v>2</v>
      </c>
      <c r="K105" s="63" t="s">
        <v>184</v>
      </c>
      <c r="L105" s="46"/>
      <c r="M105" s="47" t="s">
        <v>57</v>
      </c>
    </row>
    <row r="106" spans="1:13">
      <c r="A106" s="43" t="s">
        <v>220</v>
      </c>
      <c r="B106" s="43" t="s">
        <v>221</v>
      </c>
      <c r="C106" s="51">
        <v>2</v>
      </c>
      <c r="D106" s="52" t="s">
        <v>185</v>
      </c>
      <c r="E106" s="47">
        <v>0</v>
      </c>
      <c r="F106" s="48" t="s">
        <v>183</v>
      </c>
      <c r="G106" s="48">
        <v>1</v>
      </c>
      <c r="H106" s="48"/>
      <c r="I106" s="48"/>
      <c r="J106" s="48">
        <v>3</v>
      </c>
      <c r="K106" s="44">
        <v>0</v>
      </c>
      <c r="L106" s="46"/>
      <c r="M106" s="47" t="s">
        <v>57</v>
      </c>
    </row>
    <row r="107" spans="1:13">
      <c r="A107" s="43" t="s">
        <v>220</v>
      </c>
      <c r="B107" s="43" t="s">
        <v>221</v>
      </c>
      <c r="C107" s="51">
        <v>3</v>
      </c>
      <c r="D107" s="52" t="s">
        <v>186</v>
      </c>
      <c r="E107" s="47">
        <v>0</v>
      </c>
      <c r="F107" s="48" t="s">
        <v>187</v>
      </c>
      <c r="G107" s="48">
        <v>5</v>
      </c>
      <c r="H107" s="48"/>
      <c r="I107" s="48"/>
      <c r="J107" s="48">
        <v>8</v>
      </c>
      <c r="K107" s="44"/>
      <c r="L107" s="46"/>
      <c r="M107" s="47" t="s">
        <v>57</v>
      </c>
    </row>
    <row r="108" spans="1:13">
      <c r="A108" s="43" t="s">
        <v>220</v>
      </c>
      <c r="B108" s="43" t="s">
        <v>221</v>
      </c>
      <c r="C108" s="51">
        <v>4</v>
      </c>
      <c r="D108" s="52" t="s">
        <v>188</v>
      </c>
      <c r="E108" s="47">
        <v>0</v>
      </c>
      <c r="F108" s="48" t="s">
        <v>183</v>
      </c>
      <c r="G108" s="48">
        <v>8</v>
      </c>
      <c r="H108" s="48"/>
      <c r="I108" s="48"/>
      <c r="J108" s="48">
        <v>16</v>
      </c>
      <c r="K108" s="44"/>
      <c r="L108" s="46"/>
      <c r="M108" s="47" t="s">
        <v>57</v>
      </c>
    </row>
    <row r="109" spans="1:13">
      <c r="A109" s="43" t="s">
        <v>220</v>
      </c>
      <c r="B109" s="43" t="s">
        <v>221</v>
      </c>
      <c r="C109" s="51">
        <v>5</v>
      </c>
      <c r="D109" s="52" t="s">
        <v>189</v>
      </c>
      <c r="E109" s="47">
        <v>0</v>
      </c>
      <c r="F109" s="48" t="s">
        <v>183</v>
      </c>
      <c r="G109" s="48">
        <v>6</v>
      </c>
      <c r="H109" s="48" t="s">
        <v>190</v>
      </c>
      <c r="I109" s="48"/>
      <c r="J109" s="48">
        <v>22</v>
      </c>
      <c r="K109" s="44" t="s">
        <v>191</v>
      </c>
      <c r="L109" s="46"/>
      <c r="M109" s="47" t="s">
        <v>57</v>
      </c>
    </row>
    <row r="110" spans="1:13">
      <c r="A110" s="43" t="s">
        <v>220</v>
      </c>
      <c r="B110" s="43" t="s">
        <v>221</v>
      </c>
      <c r="C110" s="51">
        <v>6</v>
      </c>
      <c r="D110" s="52" t="s">
        <v>192</v>
      </c>
      <c r="E110" s="47">
        <v>0</v>
      </c>
      <c r="F110" s="48" t="s">
        <v>187</v>
      </c>
      <c r="G110" s="48">
        <v>6</v>
      </c>
      <c r="H110" s="48"/>
      <c r="I110" s="48"/>
      <c r="J110" s="48">
        <v>28</v>
      </c>
      <c r="K110" s="44"/>
      <c r="L110" s="46"/>
      <c r="M110" s="47" t="s">
        <v>57</v>
      </c>
    </row>
    <row r="111" spans="1:13">
      <c r="A111" s="43" t="s">
        <v>220</v>
      </c>
      <c r="B111" s="43" t="s">
        <v>221</v>
      </c>
      <c r="C111" s="51">
        <v>7</v>
      </c>
      <c r="D111" s="52" t="s">
        <v>193</v>
      </c>
      <c r="E111" s="47">
        <v>0</v>
      </c>
      <c r="F111" s="48" t="s">
        <v>187</v>
      </c>
      <c r="G111" s="48">
        <v>6</v>
      </c>
      <c r="H111" s="48"/>
      <c r="I111" s="48"/>
      <c r="J111" s="48">
        <v>34</v>
      </c>
      <c r="K111" s="44"/>
      <c r="L111" s="46"/>
      <c r="M111" s="47" t="s">
        <v>57</v>
      </c>
    </row>
    <row r="112" spans="1:13">
      <c r="A112" s="43" t="s">
        <v>220</v>
      </c>
      <c r="B112" s="43" t="s">
        <v>221</v>
      </c>
      <c r="C112" s="51">
        <v>8</v>
      </c>
      <c r="D112" s="52" t="s">
        <v>210</v>
      </c>
      <c r="E112" s="47">
        <v>0</v>
      </c>
      <c r="F112" s="48" t="s">
        <v>195</v>
      </c>
      <c r="G112" s="48">
        <v>8</v>
      </c>
      <c r="H112" s="48"/>
      <c r="I112" s="48"/>
      <c r="J112" s="48">
        <v>42</v>
      </c>
      <c r="K112" s="44" t="s">
        <v>196</v>
      </c>
      <c r="L112" s="46"/>
      <c r="M112" s="47" t="s">
        <v>57</v>
      </c>
    </row>
    <row r="113" spans="1:13">
      <c r="A113" s="43" t="s">
        <v>220</v>
      </c>
      <c r="B113" s="43" t="s">
        <v>221</v>
      </c>
      <c r="C113" s="51">
        <v>9</v>
      </c>
      <c r="D113" s="52" t="s">
        <v>197</v>
      </c>
      <c r="E113" s="47">
        <v>0</v>
      </c>
      <c r="F113" s="48" t="s">
        <v>195</v>
      </c>
      <c r="G113" s="48">
        <v>8</v>
      </c>
      <c r="H113" s="48"/>
      <c r="I113" s="48"/>
      <c r="J113" s="48">
        <v>50</v>
      </c>
      <c r="K113" s="44" t="s">
        <v>196</v>
      </c>
      <c r="L113" s="46"/>
      <c r="M113" s="47" t="s">
        <v>57</v>
      </c>
    </row>
    <row r="114" spans="1:13">
      <c r="A114" s="43" t="s">
        <v>220</v>
      </c>
      <c r="B114" s="43" t="s">
        <v>221</v>
      </c>
      <c r="C114" s="51">
        <v>10</v>
      </c>
      <c r="D114" s="52" t="s">
        <v>198</v>
      </c>
      <c r="E114" s="47">
        <v>0</v>
      </c>
      <c r="F114" s="48" t="s">
        <v>195</v>
      </c>
      <c r="G114" s="48">
        <v>8</v>
      </c>
      <c r="H114" s="48"/>
      <c r="I114" s="48"/>
      <c r="J114" s="48">
        <v>58</v>
      </c>
      <c r="K114" s="44" t="s">
        <v>196</v>
      </c>
      <c r="L114" s="46"/>
      <c r="M114" s="47" t="s">
        <v>57</v>
      </c>
    </row>
    <row r="115" spans="1:13">
      <c r="A115" s="43" t="s">
        <v>220</v>
      </c>
      <c r="B115" s="43" t="s">
        <v>221</v>
      </c>
      <c r="C115" s="51">
        <v>11</v>
      </c>
      <c r="D115" s="52" t="s">
        <v>199</v>
      </c>
      <c r="E115" s="47">
        <v>0</v>
      </c>
      <c r="F115" s="48" t="s">
        <v>195</v>
      </c>
      <c r="G115" s="48">
        <v>8</v>
      </c>
      <c r="H115" s="48"/>
      <c r="I115" s="48"/>
      <c r="J115" s="48">
        <v>66</v>
      </c>
      <c r="K115" s="44" t="s">
        <v>196</v>
      </c>
      <c r="L115" s="46"/>
      <c r="M115" s="47" t="s">
        <v>57</v>
      </c>
    </row>
    <row r="116" spans="1:13">
      <c r="A116" s="43" t="s">
        <v>220</v>
      </c>
      <c r="B116" s="43" t="s">
        <v>221</v>
      </c>
      <c r="C116" s="51">
        <v>12</v>
      </c>
      <c r="D116" s="52" t="s">
        <v>200</v>
      </c>
      <c r="E116" s="47">
        <v>0</v>
      </c>
      <c r="F116" s="48" t="s">
        <v>195</v>
      </c>
      <c r="G116" s="48">
        <v>8</v>
      </c>
      <c r="H116" s="48"/>
      <c r="I116" s="48"/>
      <c r="J116" s="48">
        <v>74</v>
      </c>
      <c r="K116" s="44" t="s">
        <v>196</v>
      </c>
      <c r="L116" s="46"/>
      <c r="M116" s="47" t="s">
        <v>57</v>
      </c>
    </row>
    <row r="117" spans="1:13">
      <c r="A117" s="43" t="s">
        <v>220</v>
      </c>
      <c r="B117" s="43" t="s">
        <v>221</v>
      </c>
      <c r="C117" s="51">
        <v>13</v>
      </c>
      <c r="D117" s="52" t="s">
        <v>201</v>
      </c>
      <c r="E117" s="47">
        <v>0</v>
      </c>
      <c r="F117" s="48" t="s">
        <v>187</v>
      </c>
      <c r="G117" s="48">
        <v>8</v>
      </c>
      <c r="H117" s="48"/>
      <c r="I117" s="48"/>
      <c r="J117" s="48">
        <v>82</v>
      </c>
      <c r="K117" s="44"/>
      <c r="L117" s="46"/>
      <c r="M117" s="47" t="s">
        <v>57</v>
      </c>
    </row>
    <row r="118" spans="1:13">
      <c r="A118" s="43" t="s">
        <v>220</v>
      </c>
      <c r="B118" s="43" t="s">
        <v>221</v>
      </c>
      <c r="C118" s="51">
        <v>14</v>
      </c>
      <c r="D118" s="52" t="s">
        <v>202</v>
      </c>
      <c r="E118" s="47">
        <v>0</v>
      </c>
      <c r="F118" s="48" t="s">
        <v>203</v>
      </c>
      <c r="G118" s="48">
        <v>12</v>
      </c>
      <c r="H118" s="48"/>
      <c r="I118" s="48"/>
      <c r="J118" s="48">
        <v>94</v>
      </c>
      <c r="K118" s="44"/>
      <c r="L118" s="46"/>
      <c r="M118" s="47" t="s">
        <v>57</v>
      </c>
    </row>
    <row r="119" spans="1:13">
      <c r="A119" s="43" t="s">
        <v>220</v>
      </c>
      <c r="B119" s="43" t="s">
        <v>221</v>
      </c>
      <c r="C119" s="51">
        <v>15</v>
      </c>
      <c r="D119" s="52" t="s">
        <v>204</v>
      </c>
      <c r="E119" s="47">
        <v>0</v>
      </c>
      <c r="F119" s="48" t="s">
        <v>187</v>
      </c>
      <c r="G119" s="48">
        <v>9</v>
      </c>
      <c r="H119" s="48"/>
      <c r="I119" s="48"/>
      <c r="J119" s="48">
        <v>103</v>
      </c>
      <c r="K119" s="44"/>
      <c r="L119" s="46"/>
      <c r="M119" s="47" t="s">
        <v>57</v>
      </c>
    </row>
    <row r="120" spans="1:13">
      <c r="A120" s="43" t="s">
        <v>220</v>
      </c>
      <c r="B120" s="43" t="s">
        <v>221</v>
      </c>
      <c r="C120" s="51">
        <v>16</v>
      </c>
      <c r="D120" s="52" t="s">
        <v>205</v>
      </c>
      <c r="E120" s="47">
        <v>0</v>
      </c>
      <c r="F120" s="48" t="s">
        <v>203</v>
      </c>
      <c r="G120" s="48">
        <v>11</v>
      </c>
      <c r="H120" s="48"/>
      <c r="I120" s="48"/>
      <c r="J120" s="48">
        <v>114</v>
      </c>
      <c r="K120" s="44"/>
      <c r="L120" s="46"/>
      <c r="M120" s="47" t="s">
        <v>57</v>
      </c>
    </row>
    <row r="121" spans="1:13">
      <c r="A121" s="43" t="s">
        <v>220</v>
      </c>
      <c r="B121" s="43" t="s">
        <v>221</v>
      </c>
      <c r="C121" s="51">
        <v>17</v>
      </c>
      <c r="D121" s="52" t="s">
        <v>206</v>
      </c>
      <c r="E121" s="47">
        <v>0</v>
      </c>
      <c r="F121" s="48" t="s">
        <v>183</v>
      </c>
      <c r="G121" s="48">
        <v>6</v>
      </c>
      <c r="H121" s="48" t="s">
        <v>207</v>
      </c>
      <c r="I121" s="48">
        <v>9</v>
      </c>
      <c r="J121" s="48">
        <v>120</v>
      </c>
      <c r="K121" s="44"/>
      <c r="L121" s="46"/>
      <c r="M121" s="47" t="s">
        <v>57</v>
      </c>
    </row>
    <row r="122" spans="1:13">
      <c r="A122" s="43" t="s">
        <v>222</v>
      </c>
      <c r="B122" s="43" t="s">
        <v>223</v>
      </c>
      <c r="C122" s="51">
        <v>1</v>
      </c>
      <c r="D122" s="52" t="s">
        <v>182</v>
      </c>
      <c r="E122" s="47">
        <v>0</v>
      </c>
      <c r="F122" s="48" t="s">
        <v>183</v>
      </c>
      <c r="G122" s="48">
        <v>2</v>
      </c>
      <c r="H122" s="48"/>
      <c r="I122" s="48"/>
      <c r="J122" s="48">
        <v>2</v>
      </c>
      <c r="K122" s="63" t="s">
        <v>184</v>
      </c>
      <c r="L122" s="46"/>
      <c r="M122" s="47" t="s">
        <v>57</v>
      </c>
    </row>
    <row r="123" spans="1:13">
      <c r="A123" s="43" t="s">
        <v>222</v>
      </c>
      <c r="B123" s="43" t="s">
        <v>223</v>
      </c>
      <c r="C123" s="51">
        <v>2</v>
      </c>
      <c r="D123" s="52" t="s">
        <v>185</v>
      </c>
      <c r="E123" s="47">
        <v>0</v>
      </c>
      <c r="F123" s="48" t="s">
        <v>183</v>
      </c>
      <c r="G123" s="48">
        <v>1</v>
      </c>
      <c r="H123" s="48"/>
      <c r="I123" s="48"/>
      <c r="J123" s="48">
        <v>3</v>
      </c>
      <c r="K123" s="44">
        <v>0</v>
      </c>
      <c r="L123" s="46"/>
      <c r="M123" s="47" t="s">
        <v>57</v>
      </c>
    </row>
    <row r="124" spans="1:13">
      <c r="A124" s="43" t="s">
        <v>222</v>
      </c>
      <c r="B124" s="43" t="s">
        <v>223</v>
      </c>
      <c r="C124" s="51">
        <v>3</v>
      </c>
      <c r="D124" s="52" t="s">
        <v>186</v>
      </c>
      <c r="E124" s="47">
        <v>0</v>
      </c>
      <c r="F124" s="48" t="s">
        <v>187</v>
      </c>
      <c r="G124" s="48">
        <v>5</v>
      </c>
      <c r="H124" s="48"/>
      <c r="I124" s="48"/>
      <c r="J124" s="48">
        <v>8</v>
      </c>
      <c r="K124" s="44"/>
      <c r="L124" s="46"/>
      <c r="M124" s="47" t="s">
        <v>57</v>
      </c>
    </row>
    <row r="125" spans="1:13">
      <c r="A125" s="43" t="s">
        <v>222</v>
      </c>
      <c r="B125" s="43" t="s">
        <v>223</v>
      </c>
      <c r="C125" s="51">
        <v>4</v>
      </c>
      <c r="D125" s="52" t="s">
        <v>188</v>
      </c>
      <c r="E125" s="47">
        <v>0</v>
      </c>
      <c r="F125" s="48" t="s">
        <v>183</v>
      </c>
      <c r="G125" s="48">
        <v>8</v>
      </c>
      <c r="H125" s="48"/>
      <c r="I125" s="48"/>
      <c r="J125" s="48">
        <v>16</v>
      </c>
      <c r="K125" s="44"/>
      <c r="L125" s="46"/>
      <c r="M125" s="47" t="s">
        <v>57</v>
      </c>
    </row>
    <row r="126" spans="1:13">
      <c r="A126" s="43" t="s">
        <v>222</v>
      </c>
      <c r="B126" s="43" t="s">
        <v>223</v>
      </c>
      <c r="C126" s="51">
        <v>5</v>
      </c>
      <c r="D126" s="52" t="s">
        <v>189</v>
      </c>
      <c r="E126" s="47">
        <v>0</v>
      </c>
      <c r="F126" s="48" t="s">
        <v>183</v>
      </c>
      <c r="G126" s="48">
        <v>6</v>
      </c>
      <c r="H126" s="48" t="s">
        <v>190</v>
      </c>
      <c r="I126" s="48"/>
      <c r="J126" s="48">
        <v>22</v>
      </c>
      <c r="K126" s="44" t="s">
        <v>191</v>
      </c>
      <c r="L126" s="46"/>
      <c r="M126" s="47" t="s">
        <v>57</v>
      </c>
    </row>
    <row r="127" spans="1:13">
      <c r="A127" s="43" t="s">
        <v>222</v>
      </c>
      <c r="B127" s="43" t="s">
        <v>223</v>
      </c>
      <c r="C127" s="51">
        <v>6</v>
      </c>
      <c r="D127" s="52" t="s">
        <v>192</v>
      </c>
      <c r="E127" s="47">
        <v>0</v>
      </c>
      <c r="F127" s="48" t="s">
        <v>187</v>
      </c>
      <c r="G127" s="48">
        <v>6</v>
      </c>
      <c r="H127" s="48"/>
      <c r="I127" s="48"/>
      <c r="J127" s="48">
        <v>28</v>
      </c>
      <c r="K127" s="44"/>
      <c r="L127" s="46"/>
      <c r="M127" s="47" t="s">
        <v>57</v>
      </c>
    </row>
    <row r="128" spans="1:13">
      <c r="A128" s="43" t="s">
        <v>222</v>
      </c>
      <c r="B128" s="43" t="s">
        <v>223</v>
      </c>
      <c r="C128" s="51">
        <v>7</v>
      </c>
      <c r="D128" s="52" t="s">
        <v>193</v>
      </c>
      <c r="E128" s="47">
        <v>0</v>
      </c>
      <c r="F128" s="48" t="s">
        <v>187</v>
      </c>
      <c r="G128" s="48">
        <v>6</v>
      </c>
      <c r="H128" s="48"/>
      <c r="I128" s="48"/>
      <c r="J128" s="48">
        <v>34</v>
      </c>
      <c r="K128" s="44"/>
      <c r="L128" s="46"/>
      <c r="M128" s="47" t="s">
        <v>57</v>
      </c>
    </row>
    <row r="129" spans="1:13">
      <c r="A129" s="43" t="s">
        <v>222</v>
      </c>
      <c r="B129" s="43" t="s">
        <v>223</v>
      </c>
      <c r="C129" s="51">
        <v>8</v>
      </c>
      <c r="D129" s="52" t="s">
        <v>210</v>
      </c>
      <c r="E129" s="47">
        <v>0</v>
      </c>
      <c r="F129" s="48" t="s">
        <v>195</v>
      </c>
      <c r="G129" s="48">
        <v>8</v>
      </c>
      <c r="H129" s="48"/>
      <c r="I129" s="48"/>
      <c r="J129" s="48">
        <v>42</v>
      </c>
      <c r="K129" s="44" t="s">
        <v>196</v>
      </c>
      <c r="L129" s="46"/>
      <c r="M129" s="47" t="s">
        <v>57</v>
      </c>
    </row>
    <row r="130" spans="1:13">
      <c r="A130" s="43" t="s">
        <v>222</v>
      </c>
      <c r="B130" s="43" t="s">
        <v>223</v>
      </c>
      <c r="C130" s="51">
        <v>9</v>
      </c>
      <c r="D130" s="52" t="s">
        <v>197</v>
      </c>
      <c r="E130" s="47">
        <v>0</v>
      </c>
      <c r="F130" s="48" t="s">
        <v>195</v>
      </c>
      <c r="G130" s="48">
        <v>8</v>
      </c>
      <c r="H130" s="48"/>
      <c r="I130" s="48"/>
      <c r="J130" s="48">
        <v>50</v>
      </c>
      <c r="K130" s="44" t="s">
        <v>196</v>
      </c>
      <c r="L130" s="46"/>
      <c r="M130" s="47" t="s">
        <v>57</v>
      </c>
    </row>
    <row r="131" spans="1:13">
      <c r="A131" s="43" t="s">
        <v>222</v>
      </c>
      <c r="B131" s="43" t="s">
        <v>223</v>
      </c>
      <c r="C131" s="51">
        <v>10</v>
      </c>
      <c r="D131" s="52" t="s">
        <v>198</v>
      </c>
      <c r="E131" s="47">
        <v>0</v>
      </c>
      <c r="F131" s="48" t="s">
        <v>195</v>
      </c>
      <c r="G131" s="48">
        <v>8</v>
      </c>
      <c r="H131" s="48"/>
      <c r="I131" s="48"/>
      <c r="J131" s="48">
        <v>58</v>
      </c>
      <c r="K131" s="44" t="s">
        <v>196</v>
      </c>
      <c r="L131" s="46"/>
      <c r="M131" s="47" t="s">
        <v>57</v>
      </c>
    </row>
    <row r="132" spans="1:13">
      <c r="A132" s="43" t="s">
        <v>222</v>
      </c>
      <c r="B132" s="43" t="s">
        <v>223</v>
      </c>
      <c r="C132" s="51">
        <v>11</v>
      </c>
      <c r="D132" s="52" t="s">
        <v>199</v>
      </c>
      <c r="E132" s="47">
        <v>0</v>
      </c>
      <c r="F132" s="48" t="s">
        <v>195</v>
      </c>
      <c r="G132" s="48">
        <v>8</v>
      </c>
      <c r="H132" s="48"/>
      <c r="I132" s="48"/>
      <c r="J132" s="48">
        <v>66</v>
      </c>
      <c r="K132" s="44" t="s">
        <v>196</v>
      </c>
      <c r="L132" s="46"/>
      <c r="M132" s="47" t="s">
        <v>57</v>
      </c>
    </row>
    <row r="133" spans="1:13">
      <c r="A133" s="43" t="s">
        <v>222</v>
      </c>
      <c r="B133" s="43" t="s">
        <v>223</v>
      </c>
      <c r="C133" s="51">
        <v>12</v>
      </c>
      <c r="D133" s="52" t="s">
        <v>200</v>
      </c>
      <c r="E133" s="47">
        <v>0</v>
      </c>
      <c r="F133" s="48" t="s">
        <v>195</v>
      </c>
      <c r="G133" s="48">
        <v>8</v>
      </c>
      <c r="H133" s="48"/>
      <c r="I133" s="48"/>
      <c r="J133" s="48">
        <v>74</v>
      </c>
      <c r="K133" s="44" t="s">
        <v>196</v>
      </c>
      <c r="L133" s="46"/>
      <c r="M133" s="47" t="s">
        <v>57</v>
      </c>
    </row>
    <row r="134" spans="1:13">
      <c r="A134" s="43" t="s">
        <v>222</v>
      </c>
      <c r="B134" s="43" t="s">
        <v>223</v>
      </c>
      <c r="C134" s="51">
        <v>13</v>
      </c>
      <c r="D134" s="52" t="s">
        <v>201</v>
      </c>
      <c r="E134" s="47">
        <v>0</v>
      </c>
      <c r="F134" s="48" t="s">
        <v>187</v>
      </c>
      <c r="G134" s="48">
        <v>8</v>
      </c>
      <c r="H134" s="48"/>
      <c r="I134" s="48"/>
      <c r="J134" s="48">
        <v>82</v>
      </c>
      <c r="K134" s="44"/>
      <c r="L134" s="46"/>
      <c r="M134" s="47" t="s">
        <v>57</v>
      </c>
    </row>
    <row r="135" spans="1:13">
      <c r="A135" s="43" t="s">
        <v>222</v>
      </c>
      <c r="B135" s="43" t="s">
        <v>223</v>
      </c>
      <c r="C135" s="51">
        <v>14</v>
      </c>
      <c r="D135" s="52" t="s">
        <v>202</v>
      </c>
      <c r="E135" s="47">
        <v>0</v>
      </c>
      <c r="F135" s="48" t="s">
        <v>203</v>
      </c>
      <c r="G135" s="48">
        <v>12</v>
      </c>
      <c r="H135" s="48"/>
      <c r="I135" s="48"/>
      <c r="J135" s="48">
        <v>94</v>
      </c>
      <c r="K135" s="44"/>
      <c r="L135" s="46"/>
      <c r="M135" s="47" t="s">
        <v>57</v>
      </c>
    </row>
    <row r="136" spans="1:13">
      <c r="A136" s="43" t="s">
        <v>222</v>
      </c>
      <c r="B136" s="43" t="s">
        <v>223</v>
      </c>
      <c r="C136" s="51">
        <v>15</v>
      </c>
      <c r="D136" s="52" t="s">
        <v>204</v>
      </c>
      <c r="E136" s="47">
        <v>0</v>
      </c>
      <c r="F136" s="48" t="s">
        <v>187</v>
      </c>
      <c r="G136" s="48">
        <v>9</v>
      </c>
      <c r="H136" s="48"/>
      <c r="I136" s="48"/>
      <c r="J136" s="48">
        <v>103</v>
      </c>
      <c r="K136" s="44"/>
      <c r="L136" s="46"/>
      <c r="M136" s="47" t="s">
        <v>57</v>
      </c>
    </row>
    <row r="137" spans="1:13">
      <c r="A137" s="43" t="s">
        <v>222</v>
      </c>
      <c r="B137" s="43" t="s">
        <v>223</v>
      </c>
      <c r="C137" s="51">
        <v>16</v>
      </c>
      <c r="D137" s="52" t="s">
        <v>205</v>
      </c>
      <c r="E137" s="47">
        <v>0</v>
      </c>
      <c r="F137" s="48" t="s">
        <v>203</v>
      </c>
      <c r="G137" s="48">
        <v>11</v>
      </c>
      <c r="H137" s="48"/>
      <c r="I137" s="48"/>
      <c r="J137" s="48">
        <v>114</v>
      </c>
      <c r="K137" s="44"/>
      <c r="L137" s="46"/>
      <c r="M137" s="47" t="s">
        <v>57</v>
      </c>
    </row>
    <row r="138" spans="1:13">
      <c r="A138" s="43" t="s">
        <v>222</v>
      </c>
      <c r="B138" s="43" t="s">
        <v>223</v>
      </c>
      <c r="C138" s="51">
        <v>17</v>
      </c>
      <c r="D138" s="52" t="s">
        <v>206</v>
      </c>
      <c r="E138" s="47">
        <v>0</v>
      </c>
      <c r="F138" s="48" t="s">
        <v>183</v>
      </c>
      <c r="G138" s="48">
        <v>6</v>
      </c>
      <c r="H138" s="48" t="s">
        <v>207</v>
      </c>
      <c r="I138" s="48">
        <v>9</v>
      </c>
      <c r="J138" s="48">
        <v>120</v>
      </c>
      <c r="K138" s="44"/>
      <c r="L138" s="46"/>
      <c r="M138" s="47" t="s">
        <v>57</v>
      </c>
    </row>
    <row r="139" spans="1:13">
      <c r="A139" s="43" t="s">
        <v>224</v>
      </c>
      <c r="B139" s="43" t="s">
        <v>225</v>
      </c>
      <c r="C139" s="51">
        <v>1</v>
      </c>
      <c r="D139" s="52" t="s">
        <v>182</v>
      </c>
      <c r="E139" s="47">
        <v>0</v>
      </c>
      <c r="F139" s="48" t="s">
        <v>183</v>
      </c>
      <c r="G139" s="48">
        <v>2</v>
      </c>
      <c r="H139" s="48"/>
      <c r="I139" s="48"/>
      <c r="J139" s="48">
        <v>2</v>
      </c>
      <c r="K139" s="63" t="s">
        <v>184</v>
      </c>
      <c r="L139" s="46"/>
      <c r="M139" s="47" t="s">
        <v>57</v>
      </c>
    </row>
    <row r="140" spans="1:13">
      <c r="A140" s="43" t="s">
        <v>224</v>
      </c>
      <c r="B140" s="43" t="s">
        <v>225</v>
      </c>
      <c r="C140" s="51">
        <v>2</v>
      </c>
      <c r="D140" s="52" t="s">
        <v>185</v>
      </c>
      <c r="E140" s="47">
        <v>0</v>
      </c>
      <c r="F140" s="48" t="s">
        <v>183</v>
      </c>
      <c r="G140" s="48">
        <v>1</v>
      </c>
      <c r="H140" s="48"/>
      <c r="I140" s="48"/>
      <c r="J140" s="48">
        <v>3</v>
      </c>
      <c r="K140" s="44">
        <v>0</v>
      </c>
      <c r="L140" s="46"/>
      <c r="M140" s="47" t="s">
        <v>57</v>
      </c>
    </row>
    <row r="141" spans="1:13">
      <c r="A141" s="43" t="s">
        <v>224</v>
      </c>
      <c r="B141" s="43" t="s">
        <v>225</v>
      </c>
      <c r="C141" s="51">
        <v>3</v>
      </c>
      <c r="D141" s="52" t="s">
        <v>186</v>
      </c>
      <c r="E141" s="47">
        <v>0</v>
      </c>
      <c r="F141" s="48" t="s">
        <v>187</v>
      </c>
      <c r="G141" s="48">
        <v>5</v>
      </c>
      <c r="H141" s="48"/>
      <c r="I141" s="48"/>
      <c r="J141" s="48">
        <v>8</v>
      </c>
      <c r="K141" s="44"/>
      <c r="L141" s="46"/>
      <c r="M141" s="47" t="s">
        <v>57</v>
      </c>
    </row>
    <row r="142" spans="1:13">
      <c r="A142" s="43" t="s">
        <v>224</v>
      </c>
      <c r="B142" s="43" t="s">
        <v>225</v>
      </c>
      <c r="C142" s="51">
        <v>4</v>
      </c>
      <c r="D142" s="52" t="s">
        <v>188</v>
      </c>
      <c r="E142" s="47">
        <v>0</v>
      </c>
      <c r="F142" s="48" t="s">
        <v>183</v>
      </c>
      <c r="G142" s="48">
        <v>8</v>
      </c>
      <c r="H142" s="48"/>
      <c r="I142" s="48"/>
      <c r="J142" s="48">
        <v>16</v>
      </c>
      <c r="K142" s="44"/>
      <c r="L142" s="46"/>
      <c r="M142" s="47" t="s">
        <v>57</v>
      </c>
    </row>
    <row r="143" spans="1:13">
      <c r="A143" s="43" t="s">
        <v>224</v>
      </c>
      <c r="B143" s="43" t="s">
        <v>225</v>
      </c>
      <c r="C143" s="51">
        <v>5</v>
      </c>
      <c r="D143" s="52" t="s">
        <v>189</v>
      </c>
      <c r="E143" s="47">
        <v>0</v>
      </c>
      <c r="F143" s="48" t="s">
        <v>183</v>
      </c>
      <c r="G143" s="48">
        <v>6</v>
      </c>
      <c r="H143" s="48" t="s">
        <v>190</v>
      </c>
      <c r="I143" s="48"/>
      <c r="J143" s="48">
        <v>22</v>
      </c>
      <c r="K143" s="44" t="s">
        <v>191</v>
      </c>
      <c r="L143" s="46"/>
      <c r="M143" s="47" t="s">
        <v>57</v>
      </c>
    </row>
    <row r="144" spans="1:13">
      <c r="A144" s="43" t="s">
        <v>224</v>
      </c>
      <c r="B144" s="43" t="s">
        <v>225</v>
      </c>
      <c r="C144" s="51">
        <v>6</v>
      </c>
      <c r="D144" s="52" t="s">
        <v>192</v>
      </c>
      <c r="E144" s="47">
        <v>0</v>
      </c>
      <c r="F144" s="48" t="s">
        <v>187</v>
      </c>
      <c r="G144" s="48">
        <v>6</v>
      </c>
      <c r="H144" s="48"/>
      <c r="I144" s="48"/>
      <c r="J144" s="48">
        <v>28</v>
      </c>
      <c r="K144" s="44"/>
      <c r="L144" s="46"/>
      <c r="M144" s="47" t="s">
        <v>57</v>
      </c>
    </row>
    <row r="145" spans="1:13">
      <c r="A145" s="43" t="s">
        <v>224</v>
      </c>
      <c r="B145" s="43" t="s">
        <v>225</v>
      </c>
      <c r="C145" s="51">
        <v>7</v>
      </c>
      <c r="D145" s="52" t="s">
        <v>193</v>
      </c>
      <c r="E145" s="47">
        <v>0</v>
      </c>
      <c r="F145" s="48" t="s">
        <v>187</v>
      </c>
      <c r="G145" s="48">
        <v>6</v>
      </c>
      <c r="H145" s="48"/>
      <c r="I145" s="48"/>
      <c r="J145" s="48">
        <v>34</v>
      </c>
      <c r="K145" s="44"/>
      <c r="L145" s="46"/>
      <c r="M145" s="47" t="s">
        <v>57</v>
      </c>
    </row>
    <row r="146" spans="1:13">
      <c r="A146" s="43" t="s">
        <v>224</v>
      </c>
      <c r="B146" s="43" t="s">
        <v>225</v>
      </c>
      <c r="C146" s="51">
        <v>8</v>
      </c>
      <c r="D146" s="52" t="s">
        <v>210</v>
      </c>
      <c r="E146" s="47">
        <v>0</v>
      </c>
      <c r="F146" s="48" t="s">
        <v>195</v>
      </c>
      <c r="G146" s="48">
        <v>8</v>
      </c>
      <c r="H146" s="48"/>
      <c r="I146" s="48"/>
      <c r="J146" s="48">
        <v>42</v>
      </c>
      <c r="K146" s="44" t="s">
        <v>196</v>
      </c>
      <c r="L146" s="46"/>
      <c r="M146" s="47" t="s">
        <v>57</v>
      </c>
    </row>
    <row r="147" spans="1:13">
      <c r="A147" s="43" t="s">
        <v>224</v>
      </c>
      <c r="B147" s="43" t="s">
        <v>225</v>
      </c>
      <c r="C147" s="51">
        <v>9</v>
      </c>
      <c r="D147" s="52" t="s">
        <v>197</v>
      </c>
      <c r="E147" s="47">
        <v>0</v>
      </c>
      <c r="F147" s="48" t="s">
        <v>195</v>
      </c>
      <c r="G147" s="48">
        <v>8</v>
      </c>
      <c r="H147" s="48"/>
      <c r="I147" s="48"/>
      <c r="J147" s="48">
        <v>50</v>
      </c>
      <c r="K147" s="44" t="s">
        <v>196</v>
      </c>
      <c r="L147" s="46"/>
      <c r="M147" s="47" t="s">
        <v>57</v>
      </c>
    </row>
    <row r="148" spans="1:13">
      <c r="A148" s="43" t="s">
        <v>224</v>
      </c>
      <c r="B148" s="43" t="s">
        <v>225</v>
      </c>
      <c r="C148" s="51">
        <v>10</v>
      </c>
      <c r="D148" s="52" t="s">
        <v>198</v>
      </c>
      <c r="E148" s="47">
        <v>0</v>
      </c>
      <c r="F148" s="48" t="s">
        <v>195</v>
      </c>
      <c r="G148" s="48">
        <v>8</v>
      </c>
      <c r="H148" s="48"/>
      <c r="I148" s="48"/>
      <c r="J148" s="48">
        <v>58</v>
      </c>
      <c r="K148" s="44" t="s">
        <v>196</v>
      </c>
      <c r="L148" s="46"/>
      <c r="M148" s="47" t="s">
        <v>57</v>
      </c>
    </row>
    <row r="149" spans="1:13">
      <c r="A149" s="43" t="s">
        <v>224</v>
      </c>
      <c r="B149" s="43" t="s">
        <v>225</v>
      </c>
      <c r="C149" s="51">
        <v>11</v>
      </c>
      <c r="D149" s="52" t="s">
        <v>199</v>
      </c>
      <c r="E149" s="47">
        <v>0</v>
      </c>
      <c r="F149" s="48" t="s">
        <v>195</v>
      </c>
      <c r="G149" s="48">
        <v>8</v>
      </c>
      <c r="H149" s="48"/>
      <c r="I149" s="48"/>
      <c r="J149" s="48">
        <v>66</v>
      </c>
      <c r="K149" s="44" t="s">
        <v>196</v>
      </c>
      <c r="L149" s="46"/>
      <c r="M149" s="47" t="s">
        <v>57</v>
      </c>
    </row>
    <row r="150" spans="1:13">
      <c r="A150" s="43" t="s">
        <v>224</v>
      </c>
      <c r="B150" s="43" t="s">
        <v>225</v>
      </c>
      <c r="C150" s="51">
        <v>12</v>
      </c>
      <c r="D150" s="52" t="s">
        <v>200</v>
      </c>
      <c r="E150" s="47">
        <v>0</v>
      </c>
      <c r="F150" s="48" t="s">
        <v>195</v>
      </c>
      <c r="G150" s="48">
        <v>8</v>
      </c>
      <c r="H150" s="48"/>
      <c r="I150" s="48"/>
      <c r="J150" s="48">
        <v>74</v>
      </c>
      <c r="K150" s="44" t="s">
        <v>196</v>
      </c>
      <c r="L150" s="46"/>
      <c r="M150" s="47" t="s">
        <v>57</v>
      </c>
    </row>
    <row r="151" spans="1:13">
      <c r="A151" s="43" t="s">
        <v>224</v>
      </c>
      <c r="B151" s="43" t="s">
        <v>225</v>
      </c>
      <c r="C151" s="51">
        <v>13</v>
      </c>
      <c r="D151" s="52" t="s">
        <v>201</v>
      </c>
      <c r="E151" s="47">
        <v>0</v>
      </c>
      <c r="F151" s="48" t="s">
        <v>187</v>
      </c>
      <c r="G151" s="48">
        <v>8</v>
      </c>
      <c r="H151" s="48"/>
      <c r="I151" s="48"/>
      <c r="J151" s="48">
        <v>82</v>
      </c>
      <c r="K151" s="44"/>
      <c r="L151" s="46"/>
      <c r="M151" s="47" t="s">
        <v>57</v>
      </c>
    </row>
    <row r="152" spans="1:13">
      <c r="A152" s="43" t="s">
        <v>224</v>
      </c>
      <c r="B152" s="43" t="s">
        <v>225</v>
      </c>
      <c r="C152" s="51">
        <v>14</v>
      </c>
      <c r="D152" s="52" t="s">
        <v>202</v>
      </c>
      <c r="E152" s="47">
        <v>0</v>
      </c>
      <c r="F152" s="48" t="s">
        <v>203</v>
      </c>
      <c r="G152" s="48">
        <v>12</v>
      </c>
      <c r="H152" s="48"/>
      <c r="I152" s="48"/>
      <c r="J152" s="48">
        <v>94</v>
      </c>
      <c r="K152" s="44"/>
      <c r="L152" s="46"/>
      <c r="M152" s="47" t="s">
        <v>57</v>
      </c>
    </row>
    <row r="153" spans="1:13">
      <c r="A153" s="43" t="s">
        <v>224</v>
      </c>
      <c r="B153" s="43" t="s">
        <v>225</v>
      </c>
      <c r="C153" s="51">
        <v>15</v>
      </c>
      <c r="D153" s="52" t="s">
        <v>204</v>
      </c>
      <c r="E153" s="47">
        <v>0</v>
      </c>
      <c r="F153" s="48" t="s">
        <v>187</v>
      </c>
      <c r="G153" s="48">
        <v>9</v>
      </c>
      <c r="H153" s="48"/>
      <c r="I153" s="48"/>
      <c r="J153" s="48">
        <v>103</v>
      </c>
      <c r="K153" s="44"/>
      <c r="L153" s="46"/>
      <c r="M153" s="47" t="s">
        <v>57</v>
      </c>
    </row>
    <row r="154" spans="1:13">
      <c r="A154" s="43" t="s">
        <v>224</v>
      </c>
      <c r="B154" s="43" t="s">
        <v>225</v>
      </c>
      <c r="C154" s="51">
        <v>16</v>
      </c>
      <c r="D154" s="52" t="s">
        <v>205</v>
      </c>
      <c r="E154" s="47">
        <v>0</v>
      </c>
      <c r="F154" s="48" t="s">
        <v>203</v>
      </c>
      <c r="G154" s="48">
        <v>11</v>
      </c>
      <c r="H154" s="48"/>
      <c r="I154" s="48"/>
      <c r="J154" s="48">
        <v>114</v>
      </c>
      <c r="K154" s="44"/>
      <c r="L154" s="46"/>
      <c r="M154" s="47" t="s">
        <v>57</v>
      </c>
    </row>
    <row r="155" spans="1:13">
      <c r="A155" s="43" t="s">
        <v>224</v>
      </c>
      <c r="B155" s="43" t="s">
        <v>225</v>
      </c>
      <c r="C155" s="51">
        <v>17</v>
      </c>
      <c r="D155" s="52" t="s">
        <v>206</v>
      </c>
      <c r="E155" s="47">
        <v>0</v>
      </c>
      <c r="F155" s="48" t="s">
        <v>183</v>
      </c>
      <c r="G155" s="48">
        <v>6</v>
      </c>
      <c r="H155" s="48" t="s">
        <v>207</v>
      </c>
      <c r="I155" s="48">
        <v>9</v>
      </c>
      <c r="J155" s="48">
        <v>120</v>
      </c>
      <c r="K155" s="44"/>
      <c r="L155" s="46"/>
      <c r="M155" s="47" t="s">
        <v>57</v>
      </c>
    </row>
    <row r="156" spans="1:13">
      <c r="A156" s="43" t="s">
        <v>226</v>
      </c>
      <c r="B156" s="43" t="s">
        <v>227</v>
      </c>
      <c r="C156" s="51">
        <v>1</v>
      </c>
      <c r="D156" s="52" t="s">
        <v>182</v>
      </c>
      <c r="E156" s="47">
        <v>0</v>
      </c>
      <c r="F156" s="48" t="s">
        <v>183</v>
      </c>
      <c r="G156" s="48">
        <v>2</v>
      </c>
      <c r="H156" s="48"/>
      <c r="I156" s="48"/>
      <c r="J156" s="48">
        <v>2</v>
      </c>
      <c r="K156" s="63" t="s">
        <v>184</v>
      </c>
      <c r="L156" s="46"/>
      <c r="M156" s="47" t="s">
        <v>57</v>
      </c>
    </row>
    <row r="157" spans="1:13">
      <c r="A157" s="43" t="s">
        <v>226</v>
      </c>
      <c r="B157" s="43" t="s">
        <v>227</v>
      </c>
      <c r="C157" s="51">
        <v>2</v>
      </c>
      <c r="D157" s="52" t="s">
        <v>185</v>
      </c>
      <c r="E157" s="47">
        <v>0</v>
      </c>
      <c r="F157" s="48" t="s">
        <v>183</v>
      </c>
      <c r="G157" s="48">
        <v>1</v>
      </c>
      <c r="H157" s="48"/>
      <c r="I157" s="48"/>
      <c r="J157" s="48">
        <v>3</v>
      </c>
      <c r="K157" s="44">
        <v>0</v>
      </c>
      <c r="L157" s="46"/>
      <c r="M157" s="47" t="s">
        <v>57</v>
      </c>
    </row>
    <row r="158" spans="1:13">
      <c r="A158" s="43" t="s">
        <v>226</v>
      </c>
      <c r="B158" s="43" t="s">
        <v>227</v>
      </c>
      <c r="C158" s="51">
        <v>3</v>
      </c>
      <c r="D158" s="52" t="s">
        <v>186</v>
      </c>
      <c r="E158" s="47">
        <v>0</v>
      </c>
      <c r="F158" s="48" t="s">
        <v>187</v>
      </c>
      <c r="G158" s="48">
        <v>5</v>
      </c>
      <c r="H158" s="48"/>
      <c r="I158" s="48"/>
      <c r="J158" s="48">
        <v>8</v>
      </c>
      <c r="K158" s="44"/>
      <c r="L158" s="46"/>
      <c r="M158" s="47" t="s">
        <v>57</v>
      </c>
    </row>
    <row r="159" spans="1:13">
      <c r="A159" s="43" t="s">
        <v>226</v>
      </c>
      <c r="B159" s="43" t="s">
        <v>227</v>
      </c>
      <c r="C159" s="51">
        <v>4</v>
      </c>
      <c r="D159" s="52" t="s">
        <v>188</v>
      </c>
      <c r="E159" s="47">
        <v>0</v>
      </c>
      <c r="F159" s="48" t="s">
        <v>183</v>
      </c>
      <c r="G159" s="48">
        <v>8</v>
      </c>
      <c r="H159" s="48"/>
      <c r="I159" s="48"/>
      <c r="J159" s="48">
        <v>16</v>
      </c>
      <c r="K159" s="44"/>
      <c r="L159" s="46"/>
      <c r="M159" s="47" t="s">
        <v>57</v>
      </c>
    </row>
    <row r="160" spans="1:13">
      <c r="A160" s="43" t="s">
        <v>226</v>
      </c>
      <c r="B160" s="43" t="s">
        <v>227</v>
      </c>
      <c r="C160" s="51">
        <v>5</v>
      </c>
      <c r="D160" s="52" t="s">
        <v>189</v>
      </c>
      <c r="E160" s="47">
        <v>0</v>
      </c>
      <c r="F160" s="48" t="s">
        <v>183</v>
      </c>
      <c r="G160" s="48">
        <v>6</v>
      </c>
      <c r="H160" s="48" t="s">
        <v>190</v>
      </c>
      <c r="I160" s="48"/>
      <c r="J160" s="48">
        <v>22</v>
      </c>
      <c r="K160" s="44" t="s">
        <v>191</v>
      </c>
      <c r="L160" s="46"/>
      <c r="M160" s="47" t="s">
        <v>57</v>
      </c>
    </row>
    <row r="161" spans="1:13">
      <c r="A161" s="43" t="s">
        <v>226</v>
      </c>
      <c r="B161" s="43" t="s">
        <v>227</v>
      </c>
      <c r="C161" s="51">
        <v>6</v>
      </c>
      <c r="D161" s="52" t="s">
        <v>192</v>
      </c>
      <c r="E161" s="47">
        <v>0</v>
      </c>
      <c r="F161" s="48" t="s">
        <v>187</v>
      </c>
      <c r="G161" s="48">
        <v>6</v>
      </c>
      <c r="H161" s="48"/>
      <c r="I161" s="48"/>
      <c r="J161" s="48">
        <v>28</v>
      </c>
      <c r="K161" s="44"/>
      <c r="L161" s="46"/>
      <c r="M161" s="47" t="s">
        <v>57</v>
      </c>
    </row>
    <row r="162" spans="1:13">
      <c r="A162" s="43" t="s">
        <v>226</v>
      </c>
      <c r="B162" s="43" t="s">
        <v>227</v>
      </c>
      <c r="C162" s="51">
        <v>7</v>
      </c>
      <c r="D162" s="52" t="s">
        <v>193</v>
      </c>
      <c r="E162" s="47">
        <v>0</v>
      </c>
      <c r="F162" s="48" t="s">
        <v>187</v>
      </c>
      <c r="G162" s="48">
        <v>6</v>
      </c>
      <c r="H162" s="48"/>
      <c r="I162" s="48"/>
      <c r="J162" s="48">
        <v>34</v>
      </c>
      <c r="K162" s="44"/>
      <c r="L162" s="46"/>
      <c r="M162" s="47" t="s">
        <v>57</v>
      </c>
    </row>
    <row r="163" spans="1:13">
      <c r="A163" s="43" t="s">
        <v>226</v>
      </c>
      <c r="B163" s="43" t="s">
        <v>227</v>
      </c>
      <c r="C163" s="51">
        <v>8</v>
      </c>
      <c r="D163" s="52" t="s">
        <v>210</v>
      </c>
      <c r="E163" s="47">
        <v>0</v>
      </c>
      <c r="F163" s="48" t="s">
        <v>195</v>
      </c>
      <c r="G163" s="48">
        <v>8</v>
      </c>
      <c r="H163" s="48"/>
      <c r="I163" s="48"/>
      <c r="J163" s="48">
        <v>42</v>
      </c>
      <c r="K163" s="44" t="s">
        <v>196</v>
      </c>
      <c r="L163" s="46"/>
      <c r="M163" s="47" t="s">
        <v>57</v>
      </c>
    </row>
    <row r="164" spans="1:13">
      <c r="A164" s="43" t="s">
        <v>226</v>
      </c>
      <c r="B164" s="43" t="s">
        <v>227</v>
      </c>
      <c r="C164" s="51">
        <v>9</v>
      </c>
      <c r="D164" s="52" t="s">
        <v>197</v>
      </c>
      <c r="E164" s="47">
        <v>0</v>
      </c>
      <c r="F164" s="48" t="s">
        <v>195</v>
      </c>
      <c r="G164" s="48">
        <v>8</v>
      </c>
      <c r="H164" s="48"/>
      <c r="I164" s="48"/>
      <c r="J164" s="48">
        <v>50</v>
      </c>
      <c r="K164" s="44" t="s">
        <v>196</v>
      </c>
      <c r="L164" s="46"/>
      <c r="M164" s="47" t="s">
        <v>57</v>
      </c>
    </row>
    <row r="165" spans="1:13">
      <c r="A165" s="43" t="s">
        <v>226</v>
      </c>
      <c r="B165" s="43" t="s">
        <v>227</v>
      </c>
      <c r="C165" s="51">
        <v>10</v>
      </c>
      <c r="D165" s="52" t="s">
        <v>198</v>
      </c>
      <c r="E165" s="47">
        <v>0</v>
      </c>
      <c r="F165" s="48" t="s">
        <v>195</v>
      </c>
      <c r="G165" s="48">
        <v>8</v>
      </c>
      <c r="H165" s="48"/>
      <c r="I165" s="48"/>
      <c r="J165" s="48">
        <v>58</v>
      </c>
      <c r="K165" s="44" t="s">
        <v>196</v>
      </c>
      <c r="L165" s="46"/>
      <c r="M165" s="47" t="s">
        <v>57</v>
      </c>
    </row>
    <row r="166" spans="1:13">
      <c r="A166" s="43" t="s">
        <v>226</v>
      </c>
      <c r="B166" s="43" t="s">
        <v>227</v>
      </c>
      <c r="C166" s="51">
        <v>11</v>
      </c>
      <c r="D166" s="52" t="s">
        <v>199</v>
      </c>
      <c r="E166" s="47">
        <v>0</v>
      </c>
      <c r="F166" s="48" t="s">
        <v>195</v>
      </c>
      <c r="G166" s="48">
        <v>8</v>
      </c>
      <c r="H166" s="48"/>
      <c r="I166" s="48"/>
      <c r="J166" s="48">
        <v>66</v>
      </c>
      <c r="K166" s="44" t="s">
        <v>196</v>
      </c>
      <c r="L166" s="46"/>
      <c r="M166" s="47" t="s">
        <v>57</v>
      </c>
    </row>
    <row r="167" spans="1:13">
      <c r="A167" s="43" t="s">
        <v>226</v>
      </c>
      <c r="B167" s="43" t="s">
        <v>227</v>
      </c>
      <c r="C167" s="51">
        <v>12</v>
      </c>
      <c r="D167" s="52" t="s">
        <v>200</v>
      </c>
      <c r="E167" s="47">
        <v>0</v>
      </c>
      <c r="F167" s="48" t="s">
        <v>195</v>
      </c>
      <c r="G167" s="48">
        <v>8</v>
      </c>
      <c r="H167" s="48"/>
      <c r="I167" s="48"/>
      <c r="J167" s="48">
        <v>74</v>
      </c>
      <c r="K167" s="44" t="s">
        <v>196</v>
      </c>
      <c r="L167" s="46"/>
      <c r="M167" s="47" t="s">
        <v>57</v>
      </c>
    </row>
    <row r="168" spans="1:13">
      <c r="A168" s="43" t="s">
        <v>226</v>
      </c>
      <c r="B168" s="43" t="s">
        <v>227</v>
      </c>
      <c r="C168" s="51">
        <v>13</v>
      </c>
      <c r="D168" s="52" t="s">
        <v>201</v>
      </c>
      <c r="E168" s="47">
        <v>0</v>
      </c>
      <c r="F168" s="48" t="s">
        <v>187</v>
      </c>
      <c r="G168" s="48">
        <v>8</v>
      </c>
      <c r="H168" s="48"/>
      <c r="I168" s="48"/>
      <c r="J168" s="48">
        <v>82</v>
      </c>
      <c r="K168" s="44"/>
      <c r="L168" s="46"/>
      <c r="M168" s="47" t="s">
        <v>57</v>
      </c>
    </row>
    <row r="169" spans="1:13">
      <c r="A169" s="43" t="s">
        <v>226</v>
      </c>
      <c r="B169" s="43" t="s">
        <v>227</v>
      </c>
      <c r="C169" s="51">
        <v>14</v>
      </c>
      <c r="D169" s="52" t="s">
        <v>202</v>
      </c>
      <c r="E169" s="47">
        <v>0</v>
      </c>
      <c r="F169" s="48" t="s">
        <v>203</v>
      </c>
      <c r="G169" s="48">
        <v>12</v>
      </c>
      <c r="H169" s="48"/>
      <c r="I169" s="48"/>
      <c r="J169" s="48">
        <v>94</v>
      </c>
      <c r="K169" s="44"/>
      <c r="L169" s="46"/>
      <c r="M169" s="47" t="s">
        <v>57</v>
      </c>
    </row>
    <row r="170" spans="1:13">
      <c r="A170" s="43" t="s">
        <v>226</v>
      </c>
      <c r="B170" s="43" t="s">
        <v>227</v>
      </c>
      <c r="C170" s="51">
        <v>15</v>
      </c>
      <c r="D170" s="52" t="s">
        <v>204</v>
      </c>
      <c r="E170" s="47">
        <v>0</v>
      </c>
      <c r="F170" s="48" t="s">
        <v>187</v>
      </c>
      <c r="G170" s="48">
        <v>9</v>
      </c>
      <c r="H170" s="48"/>
      <c r="I170" s="48"/>
      <c r="J170" s="48">
        <v>103</v>
      </c>
      <c r="K170" s="44"/>
      <c r="L170" s="46"/>
      <c r="M170" s="47" t="s">
        <v>57</v>
      </c>
    </row>
    <row r="171" spans="1:13">
      <c r="A171" s="43" t="s">
        <v>226</v>
      </c>
      <c r="B171" s="43" t="s">
        <v>227</v>
      </c>
      <c r="C171" s="51">
        <v>16</v>
      </c>
      <c r="D171" s="52" t="s">
        <v>205</v>
      </c>
      <c r="E171" s="47">
        <v>0</v>
      </c>
      <c r="F171" s="48" t="s">
        <v>203</v>
      </c>
      <c r="G171" s="48">
        <v>11</v>
      </c>
      <c r="H171" s="48"/>
      <c r="I171" s="48"/>
      <c r="J171" s="48">
        <v>114</v>
      </c>
      <c r="K171" s="44"/>
      <c r="L171" s="46"/>
      <c r="M171" s="47" t="s">
        <v>57</v>
      </c>
    </row>
    <row r="172" spans="1:13">
      <c r="A172" s="43" t="s">
        <v>226</v>
      </c>
      <c r="B172" s="43" t="s">
        <v>227</v>
      </c>
      <c r="C172" s="51">
        <v>17</v>
      </c>
      <c r="D172" s="52" t="s">
        <v>206</v>
      </c>
      <c r="E172" s="47">
        <v>0</v>
      </c>
      <c r="F172" s="48" t="s">
        <v>183</v>
      </c>
      <c r="G172" s="48">
        <v>6</v>
      </c>
      <c r="H172" s="48" t="s">
        <v>207</v>
      </c>
      <c r="I172" s="48">
        <v>9</v>
      </c>
      <c r="J172" s="48">
        <v>120</v>
      </c>
      <c r="K172" s="44"/>
      <c r="L172" s="46"/>
      <c r="M172" s="47" t="s">
        <v>57</v>
      </c>
    </row>
    <row r="173" spans="1:13">
      <c r="A173" s="43" t="s">
        <v>228</v>
      </c>
      <c r="B173" s="43" t="s">
        <v>229</v>
      </c>
      <c r="C173" s="51">
        <v>1</v>
      </c>
      <c r="D173" s="52" t="s">
        <v>182</v>
      </c>
      <c r="E173" s="47">
        <v>0</v>
      </c>
      <c r="F173" s="48" t="s">
        <v>183</v>
      </c>
      <c r="G173" s="48">
        <v>2</v>
      </c>
      <c r="H173" s="48"/>
      <c r="I173" s="48"/>
      <c r="J173" s="48">
        <v>2</v>
      </c>
      <c r="K173" s="63" t="s">
        <v>184</v>
      </c>
      <c r="L173" s="46"/>
      <c r="M173" s="47" t="s">
        <v>57</v>
      </c>
    </row>
    <row r="174" spans="1:13">
      <c r="A174" s="43" t="s">
        <v>228</v>
      </c>
      <c r="B174" s="43" t="s">
        <v>229</v>
      </c>
      <c r="C174" s="51">
        <v>2</v>
      </c>
      <c r="D174" s="52" t="s">
        <v>185</v>
      </c>
      <c r="E174" s="47">
        <v>0</v>
      </c>
      <c r="F174" s="48" t="s">
        <v>183</v>
      </c>
      <c r="G174" s="48">
        <v>1</v>
      </c>
      <c r="H174" s="48"/>
      <c r="I174" s="48"/>
      <c r="J174" s="48">
        <v>3</v>
      </c>
      <c r="K174" s="44">
        <v>0</v>
      </c>
      <c r="L174" s="46"/>
      <c r="M174" s="47" t="s">
        <v>57</v>
      </c>
    </row>
    <row r="175" spans="1:13">
      <c r="A175" s="43" t="s">
        <v>228</v>
      </c>
      <c r="B175" s="43" t="s">
        <v>229</v>
      </c>
      <c r="C175" s="51">
        <v>3</v>
      </c>
      <c r="D175" s="52" t="s">
        <v>186</v>
      </c>
      <c r="E175" s="47">
        <v>0</v>
      </c>
      <c r="F175" s="48" t="s">
        <v>187</v>
      </c>
      <c r="G175" s="48">
        <v>5</v>
      </c>
      <c r="H175" s="48"/>
      <c r="I175" s="48"/>
      <c r="J175" s="48">
        <v>8</v>
      </c>
      <c r="K175" s="44"/>
      <c r="L175" s="46"/>
      <c r="M175" s="47" t="s">
        <v>57</v>
      </c>
    </row>
    <row r="176" spans="1:13">
      <c r="A176" s="43" t="s">
        <v>228</v>
      </c>
      <c r="B176" s="43" t="s">
        <v>229</v>
      </c>
      <c r="C176" s="51">
        <v>4</v>
      </c>
      <c r="D176" s="52" t="s">
        <v>188</v>
      </c>
      <c r="E176" s="47">
        <v>0</v>
      </c>
      <c r="F176" s="48" t="s">
        <v>183</v>
      </c>
      <c r="G176" s="48">
        <v>8</v>
      </c>
      <c r="H176" s="48"/>
      <c r="I176" s="48"/>
      <c r="J176" s="48">
        <v>16</v>
      </c>
      <c r="K176" s="44"/>
      <c r="L176" s="46"/>
      <c r="M176" s="47" t="s">
        <v>57</v>
      </c>
    </row>
    <row r="177" spans="1:13">
      <c r="A177" s="43" t="s">
        <v>228</v>
      </c>
      <c r="B177" s="43" t="s">
        <v>229</v>
      </c>
      <c r="C177" s="51">
        <v>5</v>
      </c>
      <c r="D177" s="52" t="s">
        <v>189</v>
      </c>
      <c r="E177" s="47">
        <v>0</v>
      </c>
      <c r="F177" s="48" t="s">
        <v>183</v>
      </c>
      <c r="G177" s="48">
        <v>6</v>
      </c>
      <c r="H177" s="48" t="s">
        <v>190</v>
      </c>
      <c r="I177" s="48"/>
      <c r="J177" s="48">
        <v>22</v>
      </c>
      <c r="K177" s="44" t="s">
        <v>191</v>
      </c>
      <c r="L177" s="46"/>
      <c r="M177" s="47" t="s">
        <v>57</v>
      </c>
    </row>
    <row r="178" spans="1:13">
      <c r="A178" s="43" t="s">
        <v>228</v>
      </c>
      <c r="B178" s="43" t="s">
        <v>229</v>
      </c>
      <c r="C178" s="51">
        <v>6</v>
      </c>
      <c r="D178" s="52" t="s">
        <v>192</v>
      </c>
      <c r="E178" s="47">
        <v>0</v>
      </c>
      <c r="F178" s="48" t="s">
        <v>187</v>
      </c>
      <c r="G178" s="48">
        <v>6</v>
      </c>
      <c r="H178" s="48"/>
      <c r="I178" s="48"/>
      <c r="J178" s="48">
        <v>28</v>
      </c>
      <c r="K178" s="44"/>
      <c r="L178" s="46"/>
      <c r="M178" s="47" t="s">
        <v>57</v>
      </c>
    </row>
    <row r="179" spans="1:13">
      <c r="A179" s="43" t="s">
        <v>228</v>
      </c>
      <c r="B179" s="43" t="s">
        <v>229</v>
      </c>
      <c r="C179" s="51">
        <v>7</v>
      </c>
      <c r="D179" s="52" t="s">
        <v>193</v>
      </c>
      <c r="E179" s="47">
        <v>0</v>
      </c>
      <c r="F179" s="48" t="s">
        <v>187</v>
      </c>
      <c r="G179" s="48">
        <v>6</v>
      </c>
      <c r="H179" s="48"/>
      <c r="I179" s="48"/>
      <c r="J179" s="48">
        <v>34</v>
      </c>
      <c r="K179" s="44"/>
      <c r="L179" s="46"/>
      <c r="M179" s="47" t="s">
        <v>57</v>
      </c>
    </row>
    <row r="180" spans="1:13">
      <c r="A180" s="43" t="s">
        <v>228</v>
      </c>
      <c r="B180" s="43" t="s">
        <v>229</v>
      </c>
      <c r="C180" s="51">
        <v>8</v>
      </c>
      <c r="D180" s="52" t="s">
        <v>210</v>
      </c>
      <c r="E180" s="47">
        <v>0</v>
      </c>
      <c r="F180" s="48" t="s">
        <v>195</v>
      </c>
      <c r="G180" s="48">
        <v>8</v>
      </c>
      <c r="H180" s="48"/>
      <c r="I180" s="48"/>
      <c r="J180" s="48">
        <v>42</v>
      </c>
      <c r="K180" s="44" t="s">
        <v>196</v>
      </c>
      <c r="L180" s="46"/>
      <c r="M180" s="47" t="s">
        <v>57</v>
      </c>
    </row>
    <row r="181" spans="1:13">
      <c r="A181" s="43" t="s">
        <v>228</v>
      </c>
      <c r="B181" s="43" t="s">
        <v>229</v>
      </c>
      <c r="C181" s="51">
        <v>9</v>
      </c>
      <c r="D181" s="52" t="s">
        <v>197</v>
      </c>
      <c r="E181" s="47">
        <v>0</v>
      </c>
      <c r="F181" s="48" t="s">
        <v>195</v>
      </c>
      <c r="G181" s="48">
        <v>8</v>
      </c>
      <c r="H181" s="48"/>
      <c r="I181" s="48"/>
      <c r="J181" s="48">
        <v>50</v>
      </c>
      <c r="K181" s="44" t="s">
        <v>196</v>
      </c>
      <c r="L181" s="46"/>
      <c r="M181" s="47" t="s">
        <v>57</v>
      </c>
    </row>
    <row r="182" spans="1:13">
      <c r="A182" s="43" t="s">
        <v>228</v>
      </c>
      <c r="B182" s="43" t="s">
        <v>229</v>
      </c>
      <c r="C182" s="51">
        <v>10</v>
      </c>
      <c r="D182" s="52" t="s">
        <v>198</v>
      </c>
      <c r="E182" s="47">
        <v>0</v>
      </c>
      <c r="F182" s="48" t="s">
        <v>195</v>
      </c>
      <c r="G182" s="48">
        <v>8</v>
      </c>
      <c r="H182" s="48"/>
      <c r="I182" s="48"/>
      <c r="J182" s="48">
        <v>58</v>
      </c>
      <c r="K182" s="44" t="s">
        <v>196</v>
      </c>
      <c r="L182" s="46"/>
      <c r="M182" s="47" t="s">
        <v>57</v>
      </c>
    </row>
    <row r="183" spans="1:13">
      <c r="A183" s="43" t="s">
        <v>228</v>
      </c>
      <c r="B183" s="43" t="s">
        <v>229</v>
      </c>
      <c r="C183" s="51">
        <v>11</v>
      </c>
      <c r="D183" s="52" t="s">
        <v>199</v>
      </c>
      <c r="E183" s="47">
        <v>0</v>
      </c>
      <c r="F183" s="48" t="s">
        <v>195</v>
      </c>
      <c r="G183" s="48">
        <v>8</v>
      </c>
      <c r="H183" s="48"/>
      <c r="I183" s="48"/>
      <c r="J183" s="48">
        <v>66</v>
      </c>
      <c r="K183" s="44" t="s">
        <v>196</v>
      </c>
      <c r="L183" s="46"/>
      <c r="M183" s="47" t="s">
        <v>57</v>
      </c>
    </row>
    <row r="184" spans="1:13">
      <c r="A184" s="43" t="s">
        <v>228</v>
      </c>
      <c r="B184" s="43" t="s">
        <v>229</v>
      </c>
      <c r="C184" s="51">
        <v>12</v>
      </c>
      <c r="D184" s="52" t="s">
        <v>200</v>
      </c>
      <c r="E184" s="47">
        <v>0</v>
      </c>
      <c r="F184" s="48" t="s">
        <v>195</v>
      </c>
      <c r="G184" s="48">
        <v>8</v>
      </c>
      <c r="H184" s="48"/>
      <c r="I184" s="48"/>
      <c r="J184" s="48">
        <v>74</v>
      </c>
      <c r="K184" s="44" t="s">
        <v>196</v>
      </c>
      <c r="L184" s="46"/>
      <c r="M184" s="47" t="s">
        <v>57</v>
      </c>
    </row>
    <row r="185" spans="1:13">
      <c r="A185" s="43" t="s">
        <v>228</v>
      </c>
      <c r="B185" s="43" t="s">
        <v>229</v>
      </c>
      <c r="C185" s="51">
        <v>13</v>
      </c>
      <c r="D185" s="52" t="s">
        <v>201</v>
      </c>
      <c r="E185" s="47">
        <v>0</v>
      </c>
      <c r="F185" s="48" t="s">
        <v>187</v>
      </c>
      <c r="G185" s="48">
        <v>8</v>
      </c>
      <c r="H185" s="48"/>
      <c r="I185" s="48"/>
      <c r="J185" s="48">
        <v>82</v>
      </c>
      <c r="K185" s="44"/>
      <c r="L185" s="46"/>
      <c r="M185" s="47" t="s">
        <v>57</v>
      </c>
    </row>
    <row r="186" spans="1:13">
      <c r="A186" s="43" t="s">
        <v>228</v>
      </c>
      <c r="B186" s="43" t="s">
        <v>229</v>
      </c>
      <c r="C186" s="51">
        <v>14</v>
      </c>
      <c r="D186" s="52" t="s">
        <v>202</v>
      </c>
      <c r="E186" s="47">
        <v>0</v>
      </c>
      <c r="F186" s="48" t="s">
        <v>203</v>
      </c>
      <c r="G186" s="48">
        <v>12</v>
      </c>
      <c r="H186" s="48"/>
      <c r="I186" s="48"/>
      <c r="J186" s="48">
        <v>94</v>
      </c>
      <c r="K186" s="44"/>
      <c r="L186" s="46"/>
      <c r="M186" s="47" t="s">
        <v>57</v>
      </c>
    </row>
    <row r="187" spans="1:13">
      <c r="A187" s="43" t="s">
        <v>228</v>
      </c>
      <c r="B187" s="43" t="s">
        <v>229</v>
      </c>
      <c r="C187" s="51">
        <v>15</v>
      </c>
      <c r="D187" s="52" t="s">
        <v>204</v>
      </c>
      <c r="E187" s="47">
        <v>0</v>
      </c>
      <c r="F187" s="48" t="s">
        <v>187</v>
      </c>
      <c r="G187" s="48">
        <v>9</v>
      </c>
      <c r="H187" s="48"/>
      <c r="I187" s="48"/>
      <c r="J187" s="48">
        <v>103</v>
      </c>
      <c r="K187" s="44"/>
      <c r="L187" s="46"/>
      <c r="M187" s="47" t="s">
        <v>57</v>
      </c>
    </row>
    <row r="188" spans="1:13">
      <c r="A188" s="43" t="s">
        <v>228</v>
      </c>
      <c r="B188" s="43" t="s">
        <v>229</v>
      </c>
      <c r="C188" s="51">
        <v>16</v>
      </c>
      <c r="D188" s="52" t="s">
        <v>205</v>
      </c>
      <c r="E188" s="47">
        <v>0</v>
      </c>
      <c r="F188" s="48" t="s">
        <v>203</v>
      </c>
      <c r="G188" s="48">
        <v>11</v>
      </c>
      <c r="H188" s="48"/>
      <c r="I188" s="48"/>
      <c r="J188" s="48">
        <v>114</v>
      </c>
      <c r="K188" s="44"/>
      <c r="L188" s="46"/>
      <c r="M188" s="47" t="s">
        <v>57</v>
      </c>
    </row>
    <row r="189" spans="1:13">
      <c r="A189" s="43" t="s">
        <v>228</v>
      </c>
      <c r="B189" s="43" t="s">
        <v>229</v>
      </c>
      <c r="C189" s="51">
        <v>17</v>
      </c>
      <c r="D189" s="52" t="s">
        <v>206</v>
      </c>
      <c r="E189" s="47">
        <v>0</v>
      </c>
      <c r="F189" s="48" t="s">
        <v>183</v>
      </c>
      <c r="G189" s="48">
        <v>6</v>
      </c>
      <c r="H189" s="48" t="s">
        <v>207</v>
      </c>
      <c r="I189" s="48">
        <v>9</v>
      </c>
      <c r="J189" s="48">
        <v>120</v>
      </c>
      <c r="K189" s="44"/>
      <c r="L189" s="46"/>
      <c r="M189" s="47" t="s">
        <v>57</v>
      </c>
    </row>
    <row r="190" spans="1:13">
      <c r="A190" s="43" t="s">
        <v>230</v>
      </c>
      <c r="B190" s="43" t="s">
        <v>231</v>
      </c>
      <c r="C190" s="51">
        <v>1</v>
      </c>
      <c r="D190" s="52" t="s">
        <v>182</v>
      </c>
      <c r="E190" s="47">
        <v>0</v>
      </c>
      <c r="F190" s="48" t="s">
        <v>183</v>
      </c>
      <c r="G190" s="48">
        <v>2</v>
      </c>
      <c r="H190" s="48"/>
      <c r="I190" s="48"/>
      <c r="J190" s="48">
        <v>2</v>
      </c>
      <c r="K190" s="63" t="s">
        <v>184</v>
      </c>
      <c r="L190" s="46"/>
      <c r="M190" s="47" t="s">
        <v>57</v>
      </c>
    </row>
    <row r="191" spans="1:13">
      <c r="A191" s="43" t="s">
        <v>230</v>
      </c>
      <c r="B191" s="43" t="s">
        <v>231</v>
      </c>
      <c r="C191" s="51">
        <v>2</v>
      </c>
      <c r="D191" s="52" t="s">
        <v>185</v>
      </c>
      <c r="E191" s="47">
        <v>0</v>
      </c>
      <c r="F191" s="48" t="s">
        <v>183</v>
      </c>
      <c r="G191" s="48">
        <v>1</v>
      </c>
      <c r="H191" s="48"/>
      <c r="I191" s="48"/>
      <c r="J191" s="48">
        <v>3</v>
      </c>
      <c r="K191" s="44">
        <v>0</v>
      </c>
      <c r="L191" s="46"/>
      <c r="M191" s="47" t="s">
        <v>57</v>
      </c>
    </row>
    <row r="192" spans="1:13">
      <c r="A192" s="43" t="s">
        <v>230</v>
      </c>
      <c r="B192" s="43" t="s">
        <v>231</v>
      </c>
      <c r="C192" s="51">
        <v>3</v>
      </c>
      <c r="D192" s="52" t="s">
        <v>186</v>
      </c>
      <c r="E192" s="47">
        <v>0</v>
      </c>
      <c r="F192" s="48" t="s">
        <v>187</v>
      </c>
      <c r="G192" s="48">
        <v>5</v>
      </c>
      <c r="H192" s="48"/>
      <c r="I192" s="48"/>
      <c r="J192" s="48">
        <v>8</v>
      </c>
      <c r="K192" s="44"/>
      <c r="L192" s="46"/>
      <c r="M192" s="47" t="s">
        <v>57</v>
      </c>
    </row>
    <row r="193" spans="1:13">
      <c r="A193" s="43" t="s">
        <v>230</v>
      </c>
      <c r="B193" s="43" t="s">
        <v>231</v>
      </c>
      <c r="C193" s="51">
        <v>4</v>
      </c>
      <c r="D193" s="52" t="s">
        <v>188</v>
      </c>
      <c r="E193" s="47">
        <v>0</v>
      </c>
      <c r="F193" s="48" t="s">
        <v>183</v>
      </c>
      <c r="G193" s="48">
        <v>8</v>
      </c>
      <c r="H193" s="48"/>
      <c r="I193" s="48"/>
      <c r="J193" s="48">
        <v>16</v>
      </c>
      <c r="K193" s="44"/>
      <c r="L193" s="46"/>
      <c r="M193" s="47" t="s">
        <v>57</v>
      </c>
    </row>
    <row r="194" spans="1:13">
      <c r="A194" s="43" t="s">
        <v>230</v>
      </c>
      <c r="B194" s="43" t="s">
        <v>231</v>
      </c>
      <c r="C194" s="51">
        <v>5</v>
      </c>
      <c r="D194" s="52" t="s">
        <v>189</v>
      </c>
      <c r="E194" s="47">
        <v>0</v>
      </c>
      <c r="F194" s="48" t="s">
        <v>183</v>
      </c>
      <c r="G194" s="48">
        <v>6</v>
      </c>
      <c r="H194" s="48" t="s">
        <v>190</v>
      </c>
      <c r="I194" s="48"/>
      <c r="J194" s="48">
        <v>22</v>
      </c>
      <c r="K194" s="44" t="s">
        <v>191</v>
      </c>
      <c r="L194" s="46"/>
      <c r="M194" s="47" t="s">
        <v>57</v>
      </c>
    </row>
    <row r="195" spans="1:13">
      <c r="A195" s="43" t="s">
        <v>230</v>
      </c>
      <c r="B195" s="43" t="s">
        <v>231</v>
      </c>
      <c r="C195" s="51">
        <v>6</v>
      </c>
      <c r="D195" s="52" t="s">
        <v>192</v>
      </c>
      <c r="E195" s="47">
        <v>0</v>
      </c>
      <c r="F195" s="48" t="s">
        <v>187</v>
      </c>
      <c r="G195" s="48">
        <v>6</v>
      </c>
      <c r="H195" s="48"/>
      <c r="I195" s="48"/>
      <c r="J195" s="48">
        <v>28</v>
      </c>
      <c r="K195" s="44"/>
      <c r="L195" s="46"/>
      <c r="M195" s="47" t="s">
        <v>57</v>
      </c>
    </row>
    <row r="196" spans="1:13">
      <c r="A196" s="43" t="s">
        <v>230</v>
      </c>
      <c r="B196" s="43" t="s">
        <v>231</v>
      </c>
      <c r="C196" s="51">
        <v>7</v>
      </c>
      <c r="D196" s="52" t="s">
        <v>193</v>
      </c>
      <c r="E196" s="47">
        <v>0</v>
      </c>
      <c r="F196" s="48" t="s">
        <v>187</v>
      </c>
      <c r="G196" s="48">
        <v>6</v>
      </c>
      <c r="H196" s="48"/>
      <c r="I196" s="48"/>
      <c r="J196" s="48">
        <v>34</v>
      </c>
      <c r="K196" s="44"/>
      <c r="L196" s="46"/>
      <c r="M196" s="47" t="s">
        <v>57</v>
      </c>
    </row>
    <row r="197" spans="1:13">
      <c r="A197" s="43" t="s">
        <v>230</v>
      </c>
      <c r="B197" s="43" t="s">
        <v>231</v>
      </c>
      <c r="C197" s="51">
        <v>8</v>
      </c>
      <c r="D197" s="52" t="s">
        <v>210</v>
      </c>
      <c r="E197" s="47">
        <v>0</v>
      </c>
      <c r="F197" s="48" t="s">
        <v>195</v>
      </c>
      <c r="G197" s="48">
        <v>8</v>
      </c>
      <c r="H197" s="48"/>
      <c r="I197" s="48"/>
      <c r="J197" s="48">
        <v>42</v>
      </c>
      <c r="K197" s="44" t="s">
        <v>196</v>
      </c>
      <c r="L197" s="46"/>
      <c r="M197" s="47" t="s">
        <v>57</v>
      </c>
    </row>
    <row r="198" spans="1:13">
      <c r="A198" s="43" t="s">
        <v>230</v>
      </c>
      <c r="B198" s="43" t="s">
        <v>231</v>
      </c>
      <c r="C198" s="51">
        <v>9</v>
      </c>
      <c r="D198" s="52" t="s">
        <v>197</v>
      </c>
      <c r="E198" s="47">
        <v>0</v>
      </c>
      <c r="F198" s="48" t="s">
        <v>195</v>
      </c>
      <c r="G198" s="48">
        <v>8</v>
      </c>
      <c r="H198" s="48"/>
      <c r="I198" s="48"/>
      <c r="J198" s="48">
        <v>50</v>
      </c>
      <c r="K198" s="44" t="s">
        <v>196</v>
      </c>
      <c r="L198" s="46"/>
      <c r="M198" s="47" t="s">
        <v>57</v>
      </c>
    </row>
    <row r="199" spans="1:13">
      <c r="A199" s="43" t="s">
        <v>230</v>
      </c>
      <c r="B199" s="43" t="s">
        <v>231</v>
      </c>
      <c r="C199" s="51">
        <v>10</v>
      </c>
      <c r="D199" s="52" t="s">
        <v>198</v>
      </c>
      <c r="E199" s="47">
        <v>0</v>
      </c>
      <c r="F199" s="48" t="s">
        <v>195</v>
      </c>
      <c r="G199" s="48">
        <v>8</v>
      </c>
      <c r="H199" s="48"/>
      <c r="I199" s="48"/>
      <c r="J199" s="48">
        <v>58</v>
      </c>
      <c r="K199" s="44" t="s">
        <v>196</v>
      </c>
      <c r="L199" s="46"/>
      <c r="M199" s="47" t="s">
        <v>57</v>
      </c>
    </row>
    <row r="200" spans="1:13">
      <c r="A200" s="43" t="s">
        <v>230</v>
      </c>
      <c r="B200" s="43" t="s">
        <v>231</v>
      </c>
      <c r="C200" s="51">
        <v>11</v>
      </c>
      <c r="D200" s="52" t="s">
        <v>199</v>
      </c>
      <c r="E200" s="47">
        <v>0</v>
      </c>
      <c r="F200" s="48" t="s">
        <v>195</v>
      </c>
      <c r="G200" s="48">
        <v>8</v>
      </c>
      <c r="H200" s="48"/>
      <c r="I200" s="48"/>
      <c r="J200" s="48">
        <v>66</v>
      </c>
      <c r="K200" s="44" t="s">
        <v>196</v>
      </c>
      <c r="L200" s="46"/>
      <c r="M200" s="47" t="s">
        <v>57</v>
      </c>
    </row>
    <row r="201" spans="1:13">
      <c r="A201" s="43" t="s">
        <v>230</v>
      </c>
      <c r="B201" s="43" t="s">
        <v>231</v>
      </c>
      <c r="C201" s="51">
        <v>12</v>
      </c>
      <c r="D201" s="52" t="s">
        <v>200</v>
      </c>
      <c r="E201" s="47">
        <v>0</v>
      </c>
      <c r="F201" s="48" t="s">
        <v>195</v>
      </c>
      <c r="G201" s="48">
        <v>8</v>
      </c>
      <c r="H201" s="48"/>
      <c r="I201" s="48"/>
      <c r="J201" s="48">
        <v>74</v>
      </c>
      <c r="K201" s="44" t="s">
        <v>196</v>
      </c>
      <c r="L201" s="46"/>
      <c r="M201" s="47" t="s">
        <v>57</v>
      </c>
    </row>
    <row r="202" spans="1:13">
      <c r="A202" s="43" t="s">
        <v>230</v>
      </c>
      <c r="B202" s="43" t="s">
        <v>231</v>
      </c>
      <c r="C202" s="51">
        <v>13</v>
      </c>
      <c r="D202" s="52" t="s">
        <v>201</v>
      </c>
      <c r="E202" s="47">
        <v>0</v>
      </c>
      <c r="F202" s="48" t="s">
        <v>187</v>
      </c>
      <c r="G202" s="48">
        <v>8</v>
      </c>
      <c r="H202" s="48"/>
      <c r="I202" s="48"/>
      <c r="J202" s="48">
        <v>82</v>
      </c>
      <c r="K202" s="44"/>
      <c r="L202" s="46"/>
      <c r="M202" s="47" t="s">
        <v>57</v>
      </c>
    </row>
    <row r="203" spans="1:13">
      <c r="A203" s="43" t="s">
        <v>230</v>
      </c>
      <c r="B203" s="43" t="s">
        <v>231</v>
      </c>
      <c r="C203" s="51">
        <v>14</v>
      </c>
      <c r="D203" s="52" t="s">
        <v>202</v>
      </c>
      <c r="E203" s="47">
        <v>0</v>
      </c>
      <c r="F203" s="48" t="s">
        <v>203</v>
      </c>
      <c r="G203" s="48">
        <v>12</v>
      </c>
      <c r="H203" s="48"/>
      <c r="I203" s="48"/>
      <c r="J203" s="48">
        <v>94</v>
      </c>
      <c r="K203" s="44"/>
      <c r="L203" s="46"/>
      <c r="M203" s="47" t="s">
        <v>57</v>
      </c>
    </row>
    <row r="204" spans="1:13">
      <c r="A204" s="43" t="s">
        <v>230</v>
      </c>
      <c r="B204" s="43" t="s">
        <v>231</v>
      </c>
      <c r="C204" s="51">
        <v>15</v>
      </c>
      <c r="D204" s="52" t="s">
        <v>204</v>
      </c>
      <c r="E204" s="47">
        <v>0</v>
      </c>
      <c r="F204" s="48" t="s">
        <v>187</v>
      </c>
      <c r="G204" s="48">
        <v>9</v>
      </c>
      <c r="H204" s="48"/>
      <c r="I204" s="48"/>
      <c r="J204" s="48">
        <v>103</v>
      </c>
      <c r="K204" s="44"/>
      <c r="L204" s="46"/>
      <c r="M204" s="47" t="s">
        <v>57</v>
      </c>
    </row>
    <row r="205" spans="1:13">
      <c r="A205" s="43" t="s">
        <v>230</v>
      </c>
      <c r="B205" s="43" t="s">
        <v>231</v>
      </c>
      <c r="C205" s="51">
        <v>16</v>
      </c>
      <c r="D205" s="52" t="s">
        <v>205</v>
      </c>
      <c r="E205" s="47">
        <v>0</v>
      </c>
      <c r="F205" s="48" t="s">
        <v>203</v>
      </c>
      <c r="G205" s="48">
        <v>11</v>
      </c>
      <c r="H205" s="48"/>
      <c r="I205" s="48"/>
      <c r="J205" s="48">
        <v>114</v>
      </c>
      <c r="K205" s="44"/>
      <c r="L205" s="46"/>
      <c r="M205" s="47" t="s">
        <v>57</v>
      </c>
    </row>
    <row r="206" spans="1:13">
      <c r="A206" s="43" t="s">
        <v>230</v>
      </c>
      <c r="B206" s="43" t="s">
        <v>231</v>
      </c>
      <c r="C206" s="51">
        <v>17</v>
      </c>
      <c r="D206" s="52" t="s">
        <v>206</v>
      </c>
      <c r="E206" s="47">
        <v>0</v>
      </c>
      <c r="F206" s="48" t="s">
        <v>183</v>
      </c>
      <c r="G206" s="48">
        <v>6</v>
      </c>
      <c r="H206" s="48" t="s">
        <v>207</v>
      </c>
      <c r="I206" s="48">
        <v>9</v>
      </c>
      <c r="J206" s="48">
        <v>120</v>
      </c>
      <c r="K206" s="44"/>
      <c r="L206" s="46"/>
      <c r="M206" s="47" t="s">
        <v>57</v>
      </c>
    </row>
    <row r="207" spans="1:13">
      <c r="A207" s="43" t="s">
        <v>232</v>
      </c>
      <c r="B207" s="43" t="s">
        <v>233</v>
      </c>
      <c r="C207" s="51">
        <v>1</v>
      </c>
      <c r="D207" s="52" t="s">
        <v>182</v>
      </c>
      <c r="E207" s="47">
        <v>0</v>
      </c>
      <c r="F207" s="48" t="s">
        <v>183</v>
      </c>
      <c r="G207" s="48">
        <v>2</v>
      </c>
      <c r="H207" s="48"/>
      <c r="I207" s="48"/>
      <c r="J207" s="48">
        <v>2</v>
      </c>
      <c r="K207" s="63" t="s">
        <v>184</v>
      </c>
      <c r="L207" s="46"/>
      <c r="M207" s="47" t="s">
        <v>57</v>
      </c>
    </row>
    <row r="208" spans="1:13">
      <c r="A208" s="43" t="s">
        <v>232</v>
      </c>
      <c r="B208" s="43" t="s">
        <v>233</v>
      </c>
      <c r="C208" s="51">
        <v>2</v>
      </c>
      <c r="D208" s="52" t="s">
        <v>185</v>
      </c>
      <c r="E208" s="47">
        <v>0</v>
      </c>
      <c r="F208" s="48" t="s">
        <v>183</v>
      </c>
      <c r="G208" s="48">
        <v>1</v>
      </c>
      <c r="H208" s="48"/>
      <c r="I208" s="48"/>
      <c r="J208" s="48">
        <v>3</v>
      </c>
      <c r="K208" s="44">
        <v>0</v>
      </c>
      <c r="L208" s="46"/>
      <c r="M208" s="47" t="s">
        <v>57</v>
      </c>
    </row>
    <row r="209" spans="1:13">
      <c r="A209" s="43" t="s">
        <v>232</v>
      </c>
      <c r="B209" s="43" t="s">
        <v>233</v>
      </c>
      <c r="C209" s="51">
        <v>3</v>
      </c>
      <c r="D209" s="52" t="s">
        <v>186</v>
      </c>
      <c r="E209" s="47">
        <v>0</v>
      </c>
      <c r="F209" s="48" t="s">
        <v>187</v>
      </c>
      <c r="G209" s="48">
        <v>5</v>
      </c>
      <c r="H209" s="48"/>
      <c r="I209" s="48"/>
      <c r="J209" s="48">
        <v>8</v>
      </c>
      <c r="K209" s="44"/>
      <c r="L209" s="46"/>
      <c r="M209" s="47" t="s">
        <v>57</v>
      </c>
    </row>
    <row r="210" spans="1:13">
      <c r="A210" s="43" t="s">
        <v>232</v>
      </c>
      <c r="B210" s="43" t="s">
        <v>233</v>
      </c>
      <c r="C210" s="51">
        <v>4</v>
      </c>
      <c r="D210" s="52" t="s">
        <v>188</v>
      </c>
      <c r="E210" s="47">
        <v>0</v>
      </c>
      <c r="F210" s="48" t="s">
        <v>183</v>
      </c>
      <c r="G210" s="48">
        <v>8</v>
      </c>
      <c r="H210" s="48"/>
      <c r="I210" s="48"/>
      <c r="J210" s="48">
        <v>16</v>
      </c>
      <c r="K210" s="44"/>
      <c r="L210" s="46"/>
      <c r="M210" s="47" t="s">
        <v>57</v>
      </c>
    </row>
    <row r="211" spans="1:13">
      <c r="A211" s="43" t="s">
        <v>232</v>
      </c>
      <c r="B211" s="43" t="s">
        <v>233</v>
      </c>
      <c r="C211" s="51">
        <v>5</v>
      </c>
      <c r="D211" s="52" t="s">
        <v>189</v>
      </c>
      <c r="E211" s="47">
        <v>0</v>
      </c>
      <c r="F211" s="48" t="s">
        <v>183</v>
      </c>
      <c r="G211" s="48">
        <v>6</v>
      </c>
      <c r="H211" s="48" t="s">
        <v>190</v>
      </c>
      <c r="I211" s="48"/>
      <c r="J211" s="48">
        <v>22</v>
      </c>
      <c r="K211" s="44" t="s">
        <v>191</v>
      </c>
      <c r="L211" s="46"/>
      <c r="M211" s="47" t="s">
        <v>57</v>
      </c>
    </row>
    <row r="212" spans="1:13">
      <c r="A212" s="43" t="s">
        <v>232</v>
      </c>
      <c r="B212" s="43" t="s">
        <v>233</v>
      </c>
      <c r="C212" s="51">
        <v>6</v>
      </c>
      <c r="D212" s="52" t="s">
        <v>199</v>
      </c>
      <c r="E212" s="47">
        <v>0</v>
      </c>
      <c r="F212" s="48" t="s">
        <v>195</v>
      </c>
      <c r="G212" s="48">
        <v>8</v>
      </c>
      <c r="H212" s="48"/>
      <c r="I212" s="48"/>
      <c r="J212" s="48">
        <v>30</v>
      </c>
      <c r="K212" s="44" t="s">
        <v>196</v>
      </c>
      <c r="L212" s="46"/>
      <c r="M212" s="47" t="s">
        <v>57</v>
      </c>
    </row>
    <row r="213" spans="1:13">
      <c r="A213" s="43" t="s">
        <v>232</v>
      </c>
      <c r="B213" s="43" t="s">
        <v>233</v>
      </c>
      <c r="C213" s="51">
        <v>7</v>
      </c>
      <c r="D213" s="52" t="s">
        <v>206</v>
      </c>
      <c r="E213" s="47">
        <v>0</v>
      </c>
      <c r="F213" s="48" t="s">
        <v>183</v>
      </c>
      <c r="G213" s="48">
        <v>6</v>
      </c>
      <c r="H213" s="48" t="s">
        <v>207</v>
      </c>
      <c r="I213" s="48">
        <v>9</v>
      </c>
      <c r="J213" s="48">
        <v>36</v>
      </c>
      <c r="K213" s="44"/>
      <c r="L213" s="46"/>
      <c r="M213" s="47" t="s">
        <v>57</v>
      </c>
    </row>
    <row r="214" spans="1:13" ht="22.5">
      <c r="A214" s="43" t="s">
        <v>234</v>
      </c>
      <c r="B214" s="43" t="s">
        <v>235</v>
      </c>
      <c r="C214" s="51">
        <v>1</v>
      </c>
      <c r="D214" s="52" t="s">
        <v>182</v>
      </c>
      <c r="E214" s="47">
        <v>0</v>
      </c>
      <c r="F214" s="48" t="s">
        <v>183</v>
      </c>
      <c r="G214" s="48">
        <v>2</v>
      </c>
      <c r="H214" s="48"/>
      <c r="I214" s="48"/>
      <c r="J214" s="48">
        <v>2</v>
      </c>
      <c r="K214" s="63" t="s">
        <v>184</v>
      </c>
      <c r="L214" s="46"/>
      <c r="M214" s="47" t="s">
        <v>57</v>
      </c>
    </row>
    <row r="215" spans="1:13" ht="22.5">
      <c r="A215" s="43" t="s">
        <v>234</v>
      </c>
      <c r="B215" s="43" t="s">
        <v>235</v>
      </c>
      <c r="C215" s="51">
        <v>2</v>
      </c>
      <c r="D215" s="52" t="s">
        <v>185</v>
      </c>
      <c r="E215" s="47">
        <v>0</v>
      </c>
      <c r="F215" s="48" t="s">
        <v>183</v>
      </c>
      <c r="G215" s="48">
        <v>1</v>
      </c>
      <c r="H215" s="48"/>
      <c r="I215" s="48"/>
      <c r="J215" s="48">
        <v>3</v>
      </c>
      <c r="K215" s="44">
        <v>0</v>
      </c>
      <c r="L215" s="46"/>
      <c r="M215" s="47" t="s">
        <v>57</v>
      </c>
    </row>
    <row r="216" spans="1:13" ht="22.5">
      <c r="A216" s="43" t="s">
        <v>234</v>
      </c>
      <c r="B216" s="43" t="s">
        <v>235</v>
      </c>
      <c r="C216" s="51">
        <v>3</v>
      </c>
      <c r="D216" s="52" t="s">
        <v>186</v>
      </c>
      <c r="E216" s="47">
        <v>0</v>
      </c>
      <c r="F216" s="48" t="s">
        <v>187</v>
      </c>
      <c r="G216" s="48">
        <v>5</v>
      </c>
      <c r="H216" s="48"/>
      <c r="I216" s="48"/>
      <c r="J216" s="48">
        <v>8</v>
      </c>
      <c r="K216" s="44"/>
      <c r="L216" s="46"/>
      <c r="M216" s="47" t="s">
        <v>57</v>
      </c>
    </row>
    <row r="217" spans="1:13" ht="22.5">
      <c r="A217" s="43" t="s">
        <v>234</v>
      </c>
      <c r="B217" s="43" t="s">
        <v>235</v>
      </c>
      <c r="C217" s="51">
        <v>4</v>
      </c>
      <c r="D217" s="52" t="s">
        <v>188</v>
      </c>
      <c r="E217" s="47">
        <v>0</v>
      </c>
      <c r="F217" s="48" t="s">
        <v>183</v>
      </c>
      <c r="G217" s="48">
        <v>8</v>
      </c>
      <c r="H217" s="48"/>
      <c r="I217" s="48"/>
      <c r="J217" s="48">
        <v>16</v>
      </c>
      <c r="K217" s="44"/>
      <c r="L217" s="46"/>
      <c r="M217" s="47" t="s">
        <v>57</v>
      </c>
    </row>
    <row r="218" spans="1:13" ht="22.5">
      <c r="A218" s="43" t="s">
        <v>234</v>
      </c>
      <c r="B218" s="43" t="s">
        <v>235</v>
      </c>
      <c r="C218" s="51">
        <v>5</v>
      </c>
      <c r="D218" s="52" t="s">
        <v>189</v>
      </c>
      <c r="E218" s="47">
        <v>0</v>
      </c>
      <c r="F218" s="48" t="s">
        <v>183</v>
      </c>
      <c r="G218" s="48">
        <v>6</v>
      </c>
      <c r="H218" s="48" t="s">
        <v>190</v>
      </c>
      <c r="I218" s="48"/>
      <c r="J218" s="48">
        <v>22</v>
      </c>
      <c r="K218" s="44" t="s">
        <v>191</v>
      </c>
      <c r="L218" s="46"/>
      <c r="M218" s="47" t="s">
        <v>57</v>
      </c>
    </row>
    <row r="219" spans="1:13" ht="22.5">
      <c r="A219" s="43" t="s">
        <v>234</v>
      </c>
      <c r="B219" s="43" t="s">
        <v>235</v>
      </c>
      <c r="C219" s="51">
        <v>6</v>
      </c>
      <c r="D219" s="52" t="s">
        <v>199</v>
      </c>
      <c r="E219" s="47">
        <v>0</v>
      </c>
      <c r="F219" s="48" t="s">
        <v>195</v>
      </c>
      <c r="G219" s="48">
        <v>8</v>
      </c>
      <c r="H219" s="48"/>
      <c r="I219" s="48"/>
      <c r="J219" s="48">
        <v>30</v>
      </c>
      <c r="K219" s="44" t="s">
        <v>196</v>
      </c>
      <c r="L219" s="46"/>
      <c r="M219" s="47" t="s">
        <v>57</v>
      </c>
    </row>
    <row r="220" spans="1:13" ht="22.5">
      <c r="A220" s="43" t="s">
        <v>234</v>
      </c>
      <c r="B220" s="43" t="s">
        <v>235</v>
      </c>
      <c r="C220" s="51">
        <v>7</v>
      </c>
      <c r="D220" s="52" t="s">
        <v>206</v>
      </c>
      <c r="E220" s="47">
        <v>0</v>
      </c>
      <c r="F220" s="48" t="s">
        <v>183</v>
      </c>
      <c r="G220" s="48">
        <v>6</v>
      </c>
      <c r="H220" s="48" t="s">
        <v>207</v>
      </c>
      <c r="I220" s="48">
        <v>9</v>
      </c>
      <c r="J220" s="48">
        <v>36</v>
      </c>
      <c r="K220" s="44"/>
      <c r="L220" s="46"/>
      <c r="M220" s="47" t="s">
        <v>57</v>
      </c>
    </row>
    <row r="221" spans="1:13">
      <c r="A221" s="43" t="s">
        <v>236</v>
      </c>
      <c r="B221" s="43" t="s">
        <v>237</v>
      </c>
      <c r="C221" s="51">
        <v>1</v>
      </c>
      <c r="D221" s="52" t="s">
        <v>182</v>
      </c>
      <c r="E221" s="47">
        <v>0</v>
      </c>
      <c r="F221" s="48" t="s">
        <v>183</v>
      </c>
      <c r="G221" s="48">
        <v>2</v>
      </c>
      <c r="H221" s="48"/>
      <c r="I221" s="48"/>
      <c r="J221" s="48">
        <v>2</v>
      </c>
      <c r="K221" s="63" t="s">
        <v>184</v>
      </c>
      <c r="L221" s="46"/>
      <c r="M221" s="47" t="s">
        <v>57</v>
      </c>
    </row>
    <row r="222" spans="1:13">
      <c r="A222" s="43" t="s">
        <v>236</v>
      </c>
      <c r="B222" s="43" t="s">
        <v>237</v>
      </c>
      <c r="C222" s="51">
        <v>2</v>
      </c>
      <c r="D222" s="52" t="s">
        <v>185</v>
      </c>
      <c r="E222" s="47">
        <v>0</v>
      </c>
      <c r="F222" s="48" t="s">
        <v>183</v>
      </c>
      <c r="G222" s="48">
        <v>1</v>
      </c>
      <c r="H222" s="48"/>
      <c r="I222" s="48"/>
      <c r="J222" s="48">
        <v>3</v>
      </c>
      <c r="K222" s="44">
        <v>0</v>
      </c>
      <c r="L222" s="46"/>
      <c r="M222" s="47" t="s">
        <v>57</v>
      </c>
    </row>
    <row r="223" spans="1:13">
      <c r="A223" s="43" t="s">
        <v>236</v>
      </c>
      <c r="B223" s="43" t="s">
        <v>237</v>
      </c>
      <c r="C223" s="51">
        <v>3</v>
      </c>
      <c r="D223" s="52" t="s">
        <v>186</v>
      </c>
      <c r="E223" s="47">
        <v>0</v>
      </c>
      <c r="F223" s="48" t="s">
        <v>187</v>
      </c>
      <c r="G223" s="48">
        <v>5</v>
      </c>
      <c r="H223" s="48"/>
      <c r="I223" s="48"/>
      <c r="J223" s="48">
        <v>8</v>
      </c>
      <c r="K223" s="44"/>
      <c r="L223" s="46"/>
      <c r="M223" s="47" t="s">
        <v>57</v>
      </c>
    </row>
    <row r="224" spans="1:13">
      <c r="A224" s="43" t="s">
        <v>236</v>
      </c>
      <c r="B224" s="43" t="s">
        <v>237</v>
      </c>
      <c r="C224" s="51">
        <v>4</v>
      </c>
      <c r="D224" s="52" t="s">
        <v>188</v>
      </c>
      <c r="E224" s="47">
        <v>0</v>
      </c>
      <c r="F224" s="48" t="s">
        <v>183</v>
      </c>
      <c r="G224" s="48">
        <v>8</v>
      </c>
      <c r="H224" s="48"/>
      <c r="I224" s="48"/>
      <c r="J224" s="48">
        <v>16</v>
      </c>
      <c r="K224" s="44"/>
      <c r="L224" s="46"/>
      <c r="M224" s="47" t="s">
        <v>57</v>
      </c>
    </row>
    <row r="225" spans="1:13">
      <c r="A225" s="43" t="s">
        <v>236</v>
      </c>
      <c r="B225" s="43" t="s">
        <v>237</v>
      </c>
      <c r="C225" s="51">
        <v>5</v>
      </c>
      <c r="D225" s="52" t="s">
        <v>189</v>
      </c>
      <c r="E225" s="47">
        <v>0</v>
      </c>
      <c r="F225" s="48" t="s">
        <v>183</v>
      </c>
      <c r="G225" s="48">
        <v>6</v>
      </c>
      <c r="H225" s="48" t="s">
        <v>190</v>
      </c>
      <c r="I225" s="48"/>
      <c r="J225" s="48">
        <v>22</v>
      </c>
      <c r="K225" s="44" t="s">
        <v>191</v>
      </c>
      <c r="L225" s="46"/>
      <c r="M225" s="47" t="s">
        <v>57</v>
      </c>
    </row>
    <row r="226" spans="1:13">
      <c r="A226" s="43" t="s">
        <v>236</v>
      </c>
      <c r="B226" s="43" t="s">
        <v>237</v>
      </c>
      <c r="C226" s="51">
        <v>6</v>
      </c>
      <c r="D226" s="52" t="s">
        <v>199</v>
      </c>
      <c r="E226" s="47">
        <v>0</v>
      </c>
      <c r="F226" s="48" t="s">
        <v>195</v>
      </c>
      <c r="G226" s="48">
        <v>8</v>
      </c>
      <c r="H226" s="48"/>
      <c r="I226" s="48"/>
      <c r="J226" s="48">
        <v>30</v>
      </c>
      <c r="K226" s="44" t="s">
        <v>196</v>
      </c>
      <c r="L226" s="46"/>
      <c r="M226" s="47" t="s">
        <v>57</v>
      </c>
    </row>
    <row r="227" spans="1:13">
      <c r="A227" s="43" t="s">
        <v>236</v>
      </c>
      <c r="B227" s="43" t="s">
        <v>237</v>
      </c>
      <c r="C227" s="51">
        <v>7</v>
      </c>
      <c r="D227" s="52" t="s">
        <v>206</v>
      </c>
      <c r="E227" s="47">
        <v>0</v>
      </c>
      <c r="F227" s="48" t="s">
        <v>183</v>
      </c>
      <c r="G227" s="48">
        <v>6</v>
      </c>
      <c r="H227" s="48" t="s">
        <v>207</v>
      </c>
      <c r="I227" s="48">
        <v>9</v>
      </c>
      <c r="J227" s="48">
        <v>36</v>
      </c>
      <c r="K227" s="44"/>
      <c r="L227" s="46"/>
      <c r="M227" s="47" t="s">
        <v>57</v>
      </c>
    </row>
    <row r="228" spans="1:13">
      <c r="A228" s="43" t="s">
        <v>238</v>
      </c>
      <c r="B228" s="43" t="s">
        <v>239</v>
      </c>
      <c r="C228" s="51">
        <v>1</v>
      </c>
      <c r="D228" s="52" t="s">
        <v>182</v>
      </c>
      <c r="E228" s="47">
        <v>0</v>
      </c>
      <c r="F228" s="48" t="s">
        <v>183</v>
      </c>
      <c r="G228" s="48">
        <v>2</v>
      </c>
      <c r="H228" s="48"/>
      <c r="I228" s="48"/>
      <c r="J228" s="48">
        <v>2</v>
      </c>
      <c r="K228" s="63" t="s">
        <v>184</v>
      </c>
      <c r="L228" s="46"/>
      <c r="M228" s="47" t="s">
        <v>57</v>
      </c>
    </row>
    <row r="229" spans="1:13">
      <c r="A229" s="43" t="s">
        <v>238</v>
      </c>
      <c r="B229" s="43" t="s">
        <v>239</v>
      </c>
      <c r="C229" s="51">
        <v>2</v>
      </c>
      <c r="D229" s="52" t="s">
        <v>185</v>
      </c>
      <c r="E229" s="47">
        <v>0</v>
      </c>
      <c r="F229" s="48" t="s">
        <v>183</v>
      </c>
      <c r="G229" s="48">
        <v>1</v>
      </c>
      <c r="H229" s="48"/>
      <c r="I229" s="48"/>
      <c r="J229" s="48">
        <v>3</v>
      </c>
      <c r="K229" s="44">
        <v>0</v>
      </c>
      <c r="L229" s="46"/>
      <c r="M229" s="47" t="s">
        <v>57</v>
      </c>
    </row>
    <row r="230" spans="1:13">
      <c r="A230" s="43" t="s">
        <v>238</v>
      </c>
      <c r="B230" s="43" t="s">
        <v>239</v>
      </c>
      <c r="C230" s="51">
        <v>3</v>
      </c>
      <c r="D230" s="52" t="s">
        <v>186</v>
      </c>
      <c r="E230" s="47">
        <v>0</v>
      </c>
      <c r="F230" s="48" t="s">
        <v>187</v>
      </c>
      <c r="G230" s="48">
        <v>5</v>
      </c>
      <c r="H230" s="48"/>
      <c r="I230" s="48"/>
      <c r="J230" s="48">
        <v>8</v>
      </c>
      <c r="K230" s="44"/>
      <c r="L230" s="46"/>
      <c r="M230" s="47" t="s">
        <v>57</v>
      </c>
    </row>
    <row r="231" spans="1:13">
      <c r="A231" s="43" t="s">
        <v>238</v>
      </c>
      <c r="B231" s="43" t="s">
        <v>239</v>
      </c>
      <c r="C231" s="51">
        <v>4</v>
      </c>
      <c r="D231" s="52" t="s">
        <v>188</v>
      </c>
      <c r="E231" s="47">
        <v>0</v>
      </c>
      <c r="F231" s="48" t="s">
        <v>183</v>
      </c>
      <c r="G231" s="48">
        <v>8</v>
      </c>
      <c r="H231" s="48"/>
      <c r="I231" s="48"/>
      <c r="J231" s="48">
        <v>16</v>
      </c>
      <c r="K231" s="44"/>
      <c r="L231" s="46"/>
      <c r="M231" s="47" t="s">
        <v>57</v>
      </c>
    </row>
    <row r="232" spans="1:13">
      <c r="A232" s="43" t="s">
        <v>238</v>
      </c>
      <c r="B232" s="43" t="s">
        <v>239</v>
      </c>
      <c r="C232" s="51">
        <v>5</v>
      </c>
      <c r="D232" s="52" t="s">
        <v>189</v>
      </c>
      <c r="E232" s="47">
        <v>0</v>
      </c>
      <c r="F232" s="48" t="s">
        <v>183</v>
      </c>
      <c r="G232" s="48">
        <v>6</v>
      </c>
      <c r="H232" s="48" t="s">
        <v>190</v>
      </c>
      <c r="I232" s="48"/>
      <c r="J232" s="48">
        <v>22</v>
      </c>
      <c r="K232" s="44" t="s">
        <v>191</v>
      </c>
      <c r="L232" s="46"/>
      <c r="M232" s="47" t="s">
        <v>57</v>
      </c>
    </row>
    <row r="233" spans="1:13">
      <c r="A233" s="43" t="s">
        <v>238</v>
      </c>
      <c r="B233" s="43" t="s">
        <v>239</v>
      </c>
      <c r="C233" s="51">
        <v>6</v>
      </c>
      <c r="D233" s="52" t="s">
        <v>199</v>
      </c>
      <c r="E233" s="47">
        <v>0</v>
      </c>
      <c r="F233" s="48" t="s">
        <v>195</v>
      </c>
      <c r="G233" s="48">
        <v>8</v>
      </c>
      <c r="H233" s="48"/>
      <c r="I233" s="48"/>
      <c r="J233" s="48">
        <v>30</v>
      </c>
      <c r="K233" s="44" t="s">
        <v>196</v>
      </c>
      <c r="L233" s="46"/>
      <c r="M233" s="47" t="s">
        <v>57</v>
      </c>
    </row>
    <row r="234" spans="1:13">
      <c r="A234" s="43" t="s">
        <v>238</v>
      </c>
      <c r="B234" s="43" t="s">
        <v>239</v>
      </c>
      <c r="C234" s="51">
        <v>7</v>
      </c>
      <c r="D234" s="52" t="s">
        <v>206</v>
      </c>
      <c r="E234" s="47">
        <v>0</v>
      </c>
      <c r="F234" s="48" t="s">
        <v>183</v>
      </c>
      <c r="G234" s="48">
        <v>6</v>
      </c>
      <c r="H234" s="48" t="s">
        <v>207</v>
      </c>
      <c r="I234" s="48">
        <v>9</v>
      </c>
      <c r="J234" s="48">
        <v>36</v>
      </c>
      <c r="K234" s="44"/>
      <c r="L234" s="46"/>
      <c r="M234" s="47" t="s">
        <v>57</v>
      </c>
    </row>
    <row r="235" spans="1:13">
      <c r="A235" s="43" t="s">
        <v>240</v>
      </c>
      <c r="B235" s="43" t="s">
        <v>241</v>
      </c>
      <c r="C235" s="51">
        <v>1</v>
      </c>
      <c r="D235" s="52" t="s">
        <v>182</v>
      </c>
      <c r="E235" s="47">
        <v>0</v>
      </c>
      <c r="F235" s="48" t="s">
        <v>183</v>
      </c>
      <c r="G235" s="48">
        <v>2</v>
      </c>
      <c r="H235" s="48"/>
      <c r="I235" s="48"/>
      <c r="J235" s="48">
        <v>2</v>
      </c>
      <c r="K235" s="63" t="s">
        <v>184</v>
      </c>
      <c r="L235" s="46"/>
      <c r="M235" s="47" t="s">
        <v>57</v>
      </c>
    </row>
    <row r="236" spans="1:13">
      <c r="A236" s="43" t="s">
        <v>240</v>
      </c>
      <c r="B236" s="43" t="s">
        <v>241</v>
      </c>
      <c r="C236" s="51">
        <v>2</v>
      </c>
      <c r="D236" s="52" t="s">
        <v>185</v>
      </c>
      <c r="E236" s="47">
        <v>0</v>
      </c>
      <c r="F236" s="48" t="s">
        <v>183</v>
      </c>
      <c r="G236" s="48">
        <v>1</v>
      </c>
      <c r="H236" s="48"/>
      <c r="I236" s="48"/>
      <c r="J236" s="48">
        <v>3</v>
      </c>
      <c r="K236" s="44">
        <v>0</v>
      </c>
      <c r="L236" s="46"/>
      <c r="M236" s="47" t="s">
        <v>57</v>
      </c>
    </row>
    <row r="237" spans="1:13">
      <c r="A237" s="43" t="s">
        <v>240</v>
      </c>
      <c r="B237" s="43" t="s">
        <v>241</v>
      </c>
      <c r="C237" s="51">
        <v>3</v>
      </c>
      <c r="D237" s="52" t="s">
        <v>186</v>
      </c>
      <c r="E237" s="47">
        <v>0</v>
      </c>
      <c r="F237" s="48" t="s">
        <v>187</v>
      </c>
      <c r="G237" s="48">
        <v>5</v>
      </c>
      <c r="H237" s="48"/>
      <c r="I237" s="48"/>
      <c r="J237" s="48">
        <v>8</v>
      </c>
      <c r="K237" s="44"/>
      <c r="L237" s="46"/>
      <c r="M237" s="47" t="s">
        <v>57</v>
      </c>
    </row>
    <row r="238" spans="1:13">
      <c r="A238" s="43" t="s">
        <v>240</v>
      </c>
      <c r="B238" s="43" t="s">
        <v>241</v>
      </c>
      <c r="C238" s="51">
        <v>4</v>
      </c>
      <c r="D238" s="52" t="s">
        <v>188</v>
      </c>
      <c r="E238" s="47">
        <v>0</v>
      </c>
      <c r="F238" s="48" t="s">
        <v>183</v>
      </c>
      <c r="G238" s="48">
        <v>8</v>
      </c>
      <c r="H238" s="48"/>
      <c r="I238" s="48"/>
      <c r="J238" s="48">
        <v>16</v>
      </c>
      <c r="K238" s="44"/>
      <c r="L238" s="46"/>
      <c r="M238" s="47" t="s">
        <v>57</v>
      </c>
    </row>
    <row r="239" spans="1:13">
      <c r="A239" s="43" t="s">
        <v>240</v>
      </c>
      <c r="B239" s="43" t="s">
        <v>241</v>
      </c>
      <c r="C239" s="51">
        <v>5</v>
      </c>
      <c r="D239" s="52" t="s">
        <v>189</v>
      </c>
      <c r="E239" s="47">
        <v>0</v>
      </c>
      <c r="F239" s="48" t="s">
        <v>183</v>
      </c>
      <c r="G239" s="48">
        <v>6</v>
      </c>
      <c r="H239" s="48" t="s">
        <v>190</v>
      </c>
      <c r="I239" s="48"/>
      <c r="J239" s="48">
        <v>22</v>
      </c>
      <c r="K239" s="44" t="s">
        <v>191</v>
      </c>
      <c r="L239" s="46"/>
      <c r="M239" s="47" t="s">
        <v>57</v>
      </c>
    </row>
    <row r="240" spans="1:13">
      <c r="A240" s="43" t="s">
        <v>240</v>
      </c>
      <c r="B240" s="43" t="s">
        <v>241</v>
      </c>
      <c r="C240" s="51">
        <v>6</v>
      </c>
      <c r="D240" s="52" t="s">
        <v>199</v>
      </c>
      <c r="E240" s="47">
        <v>0</v>
      </c>
      <c r="F240" s="48" t="s">
        <v>195</v>
      </c>
      <c r="G240" s="48">
        <v>8</v>
      </c>
      <c r="H240" s="48"/>
      <c r="I240" s="48"/>
      <c r="J240" s="48">
        <v>30</v>
      </c>
      <c r="K240" s="44" t="s">
        <v>196</v>
      </c>
      <c r="L240" s="46"/>
      <c r="M240" s="47" t="s">
        <v>57</v>
      </c>
    </row>
    <row r="241" spans="1:13">
      <c r="A241" s="43" t="s">
        <v>240</v>
      </c>
      <c r="B241" s="43" t="s">
        <v>241</v>
      </c>
      <c r="C241" s="51">
        <v>7</v>
      </c>
      <c r="D241" s="52" t="s">
        <v>206</v>
      </c>
      <c r="E241" s="47">
        <v>0</v>
      </c>
      <c r="F241" s="48" t="s">
        <v>183</v>
      </c>
      <c r="G241" s="48">
        <v>6</v>
      </c>
      <c r="H241" s="48" t="s">
        <v>207</v>
      </c>
      <c r="I241" s="48">
        <v>9</v>
      </c>
      <c r="J241" s="48">
        <v>36</v>
      </c>
      <c r="K241" s="44"/>
      <c r="L241" s="46"/>
      <c r="M241" s="47" t="s">
        <v>57</v>
      </c>
    </row>
    <row r="242" spans="1:13">
      <c r="A242" s="43" t="s">
        <v>242</v>
      </c>
      <c r="B242" s="43" t="s">
        <v>243</v>
      </c>
      <c r="C242" s="51">
        <v>1</v>
      </c>
      <c r="D242" s="52" t="s">
        <v>182</v>
      </c>
      <c r="E242" s="47">
        <v>0</v>
      </c>
      <c r="F242" s="48" t="s">
        <v>183</v>
      </c>
      <c r="G242" s="48">
        <v>2</v>
      </c>
      <c r="H242" s="48"/>
      <c r="I242" s="48"/>
      <c r="J242" s="48">
        <v>2</v>
      </c>
      <c r="K242" s="63" t="s">
        <v>184</v>
      </c>
      <c r="L242" s="46"/>
      <c r="M242" s="47" t="s">
        <v>57</v>
      </c>
    </row>
    <row r="243" spans="1:13">
      <c r="A243" s="43" t="s">
        <v>242</v>
      </c>
      <c r="B243" s="43" t="s">
        <v>243</v>
      </c>
      <c r="C243" s="51">
        <v>2</v>
      </c>
      <c r="D243" s="52" t="s">
        <v>185</v>
      </c>
      <c r="E243" s="47">
        <v>0</v>
      </c>
      <c r="F243" s="48" t="s">
        <v>183</v>
      </c>
      <c r="G243" s="48">
        <v>1</v>
      </c>
      <c r="H243" s="48"/>
      <c r="I243" s="48"/>
      <c r="J243" s="48">
        <v>3</v>
      </c>
      <c r="K243" s="44">
        <v>0</v>
      </c>
      <c r="L243" s="46"/>
      <c r="M243" s="47" t="s">
        <v>57</v>
      </c>
    </row>
    <row r="244" spans="1:13">
      <c r="A244" s="43" t="s">
        <v>242</v>
      </c>
      <c r="B244" s="43" t="s">
        <v>243</v>
      </c>
      <c r="C244" s="51">
        <v>3</v>
      </c>
      <c r="D244" s="52" t="s">
        <v>186</v>
      </c>
      <c r="E244" s="47">
        <v>0</v>
      </c>
      <c r="F244" s="48" t="s">
        <v>187</v>
      </c>
      <c r="G244" s="48">
        <v>5</v>
      </c>
      <c r="H244" s="48"/>
      <c r="I244" s="48"/>
      <c r="J244" s="48">
        <v>8</v>
      </c>
      <c r="K244" s="44"/>
      <c r="L244" s="46"/>
      <c r="M244" s="47" t="s">
        <v>57</v>
      </c>
    </row>
    <row r="245" spans="1:13">
      <c r="A245" s="43" t="s">
        <v>242</v>
      </c>
      <c r="B245" s="43" t="s">
        <v>243</v>
      </c>
      <c r="C245" s="51">
        <v>4</v>
      </c>
      <c r="D245" s="52" t="s">
        <v>188</v>
      </c>
      <c r="E245" s="47">
        <v>0</v>
      </c>
      <c r="F245" s="48" t="s">
        <v>183</v>
      </c>
      <c r="G245" s="48">
        <v>8</v>
      </c>
      <c r="H245" s="48"/>
      <c r="I245" s="48"/>
      <c r="J245" s="48">
        <v>16</v>
      </c>
      <c r="K245" s="44"/>
      <c r="L245" s="46"/>
      <c r="M245" s="47" t="s">
        <v>57</v>
      </c>
    </row>
    <row r="246" spans="1:13">
      <c r="A246" s="43" t="s">
        <v>242</v>
      </c>
      <c r="B246" s="43" t="s">
        <v>243</v>
      </c>
      <c r="C246" s="51">
        <v>5</v>
      </c>
      <c r="D246" s="52" t="s">
        <v>189</v>
      </c>
      <c r="E246" s="47">
        <v>0</v>
      </c>
      <c r="F246" s="48" t="s">
        <v>183</v>
      </c>
      <c r="G246" s="48">
        <v>6</v>
      </c>
      <c r="H246" s="48" t="s">
        <v>190</v>
      </c>
      <c r="I246" s="48"/>
      <c r="J246" s="48">
        <v>22</v>
      </c>
      <c r="K246" s="44" t="s">
        <v>191</v>
      </c>
      <c r="L246" s="46"/>
      <c r="M246" s="47" t="s">
        <v>57</v>
      </c>
    </row>
    <row r="247" spans="1:13">
      <c r="A247" s="43" t="s">
        <v>242</v>
      </c>
      <c r="B247" s="43" t="s">
        <v>243</v>
      </c>
      <c r="C247" s="51">
        <v>6</v>
      </c>
      <c r="D247" s="52" t="s">
        <v>199</v>
      </c>
      <c r="E247" s="47">
        <v>0</v>
      </c>
      <c r="F247" s="48" t="s">
        <v>195</v>
      </c>
      <c r="G247" s="48">
        <v>8</v>
      </c>
      <c r="H247" s="48"/>
      <c r="I247" s="48"/>
      <c r="J247" s="48">
        <v>30</v>
      </c>
      <c r="K247" s="44" t="s">
        <v>196</v>
      </c>
      <c r="L247" s="46"/>
      <c r="M247" s="47" t="s">
        <v>57</v>
      </c>
    </row>
    <row r="248" spans="1:13">
      <c r="A248" s="43" t="s">
        <v>242</v>
      </c>
      <c r="B248" s="43" t="s">
        <v>243</v>
      </c>
      <c r="C248" s="51">
        <v>7</v>
      </c>
      <c r="D248" s="52" t="s">
        <v>206</v>
      </c>
      <c r="E248" s="47">
        <v>0</v>
      </c>
      <c r="F248" s="48" t="s">
        <v>183</v>
      </c>
      <c r="G248" s="48">
        <v>6</v>
      </c>
      <c r="H248" s="48" t="s">
        <v>207</v>
      </c>
      <c r="I248" s="48">
        <v>9</v>
      </c>
      <c r="J248" s="48">
        <v>36</v>
      </c>
      <c r="K248" s="44"/>
      <c r="L248" s="46"/>
      <c r="M248" s="47" t="s">
        <v>57</v>
      </c>
    </row>
    <row r="249" spans="1:13">
      <c r="A249" s="43" t="s">
        <v>244</v>
      </c>
      <c r="B249" s="43" t="s">
        <v>245</v>
      </c>
      <c r="C249" s="51">
        <v>1</v>
      </c>
      <c r="D249" s="52" t="s">
        <v>182</v>
      </c>
      <c r="E249" s="47">
        <v>0</v>
      </c>
      <c r="F249" s="48" t="s">
        <v>183</v>
      </c>
      <c r="G249" s="48">
        <v>2</v>
      </c>
      <c r="H249" s="48"/>
      <c r="I249" s="48"/>
      <c r="J249" s="48">
        <v>2</v>
      </c>
      <c r="K249" s="63" t="s">
        <v>184</v>
      </c>
      <c r="L249" s="46"/>
      <c r="M249" s="47" t="s">
        <v>57</v>
      </c>
    </row>
    <row r="250" spans="1:13">
      <c r="A250" s="43" t="s">
        <v>244</v>
      </c>
      <c r="B250" s="43" t="s">
        <v>245</v>
      </c>
      <c r="C250" s="51">
        <v>2</v>
      </c>
      <c r="D250" s="52" t="s">
        <v>185</v>
      </c>
      <c r="E250" s="47">
        <v>0</v>
      </c>
      <c r="F250" s="48" t="s">
        <v>183</v>
      </c>
      <c r="G250" s="48">
        <v>1</v>
      </c>
      <c r="H250" s="48"/>
      <c r="I250" s="48"/>
      <c r="J250" s="48">
        <v>3</v>
      </c>
      <c r="K250" s="44">
        <v>0</v>
      </c>
      <c r="L250" s="46"/>
      <c r="M250" s="47" t="s">
        <v>57</v>
      </c>
    </row>
    <row r="251" spans="1:13">
      <c r="A251" s="43" t="s">
        <v>244</v>
      </c>
      <c r="B251" s="43" t="s">
        <v>245</v>
      </c>
      <c r="C251" s="51">
        <v>3</v>
      </c>
      <c r="D251" s="52" t="s">
        <v>186</v>
      </c>
      <c r="E251" s="47">
        <v>0</v>
      </c>
      <c r="F251" s="48" t="s">
        <v>187</v>
      </c>
      <c r="G251" s="48">
        <v>5</v>
      </c>
      <c r="H251" s="48"/>
      <c r="I251" s="48"/>
      <c r="J251" s="48">
        <v>8</v>
      </c>
      <c r="K251" s="44"/>
      <c r="L251" s="46"/>
      <c r="M251" s="47" t="s">
        <v>57</v>
      </c>
    </row>
    <row r="252" spans="1:13">
      <c r="A252" s="43" t="s">
        <v>244</v>
      </c>
      <c r="B252" s="43" t="s">
        <v>245</v>
      </c>
      <c r="C252" s="51">
        <v>4</v>
      </c>
      <c r="D252" s="52" t="s">
        <v>188</v>
      </c>
      <c r="E252" s="47">
        <v>0</v>
      </c>
      <c r="F252" s="48" t="s">
        <v>183</v>
      </c>
      <c r="G252" s="48">
        <v>8</v>
      </c>
      <c r="H252" s="48"/>
      <c r="I252" s="48"/>
      <c r="J252" s="48">
        <v>16</v>
      </c>
      <c r="K252" s="44"/>
      <c r="L252" s="46"/>
      <c r="M252" s="47" t="s">
        <v>57</v>
      </c>
    </row>
    <row r="253" spans="1:13">
      <c r="A253" s="43" t="s">
        <v>244</v>
      </c>
      <c r="B253" s="43" t="s">
        <v>245</v>
      </c>
      <c r="C253" s="51">
        <v>5</v>
      </c>
      <c r="D253" s="52" t="s">
        <v>189</v>
      </c>
      <c r="E253" s="47">
        <v>0</v>
      </c>
      <c r="F253" s="48" t="s">
        <v>183</v>
      </c>
      <c r="G253" s="48">
        <v>6</v>
      </c>
      <c r="H253" s="48" t="s">
        <v>190</v>
      </c>
      <c r="I253" s="48"/>
      <c r="J253" s="48">
        <v>22</v>
      </c>
      <c r="K253" s="44" t="s">
        <v>191</v>
      </c>
      <c r="L253" s="46"/>
      <c r="M253" s="47" t="s">
        <v>57</v>
      </c>
    </row>
    <row r="254" spans="1:13">
      <c r="A254" s="43" t="s">
        <v>244</v>
      </c>
      <c r="B254" s="43" t="s">
        <v>245</v>
      </c>
      <c r="C254" s="51">
        <v>6</v>
      </c>
      <c r="D254" s="52" t="s">
        <v>246</v>
      </c>
      <c r="E254" s="47">
        <v>0</v>
      </c>
      <c r="F254" s="48" t="s">
        <v>183</v>
      </c>
      <c r="G254" s="48">
        <v>3</v>
      </c>
      <c r="H254" s="48"/>
      <c r="I254" s="48"/>
      <c r="J254" s="48">
        <v>25</v>
      </c>
      <c r="K254" s="44"/>
      <c r="L254" s="46"/>
      <c r="M254" s="47" t="s">
        <v>57</v>
      </c>
    </row>
    <row r="255" spans="1:13">
      <c r="A255" s="43" t="s">
        <v>244</v>
      </c>
      <c r="B255" s="43" t="s">
        <v>245</v>
      </c>
      <c r="C255" s="51">
        <v>7</v>
      </c>
      <c r="D255" s="52" t="s">
        <v>192</v>
      </c>
      <c r="E255" s="47">
        <v>0</v>
      </c>
      <c r="F255" s="48" t="s">
        <v>187</v>
      </c>
      <c r="G255" s="48">
        <v>6</v>
      </c>
      <c r="H255" s="48"/>
      <c r="I255" s="48"/>
      <c r="J255" s="48">
        <v>31</v>
      </c>
      <c r="K255" s="44"/>
      <c r="L255" s="46"/>
      <c r="M255" s="47" t="s">
        <v>57</v>
      </c>
    </row>
    <row r="256" spans="1:13">
      <c r="A256" s="43" t="s">
        <v>244</v>
      </c>
      <c r="B256" s="43" t="s">
        <v>245</v>
      </c>
      <c r="C256" s="51">
        <v>8</v>
      </c>
      <c r="D256" s="52" t="s">
        <v>193</v>
      </c>
      <c r="E256" s="47">
        <v>0</v>
      </c>
      <c r="F256" s="48" t="s">
        <v>187</v>
      </c>
      <c r="G256" s="48">
        <v>6</v>
      </c>
      <c r="H256" s="48"/>
      <c r="I256" s="48"/>
      <c r="J256" s="48">
        <v>37</v>
      </c>
      <c r="K256" s="44"/>
      <c r="L256" s="46"/>
      <c r="M256" s="47" t="s">
        <v>57</v>
      </c>
    </row>
    <row r="257" spans="1:13">
      <c r="A257" s="43" t="s">
        <v>244</v>
      </c>
      <c r="B257" s="43" t="s">
        <v>245</v>
      </c>
      <c r="C257" s="51">
        <v>9</v>
      </c>
      <c r="D257" s="52" t="s">
        <v>210</v>
      </c>
      <c r="E257" s="47">
        <v>0</v>
      </c>
      <c r="F257" s="48" t="s">
        <v>195</v>
      </c>
      <c r="G257" s="48">
        <v>8</v>
      </c>
      <c r="H257" s="48"/>
      <c r="I257" s="48"/>
      <c r="J257" s="48">
        <v>45</v>
      </c>
      <c r="K257" s="44" t="s">
        <v>196</v>
      </c>
      <c r="L257" s="46"/>
      <c r="M257" s="47" t="s">
        <v>57</v>
      </c>
    </row>
    <row r="258" spans="1:13">
      <c r="A258" s="43" t="s">
        <v>244</v>
      </c>
      <c r="B258" s="43" t="s">
        <v>245</v>
      </c>
      <c r="C258" s="51">
        <v>10</v>
      </c>
      <c r="D258" s="52" t="s">
        <v>197</v>
      </c>
      <c r="E258" s="47">
        <v>0</v>
      </c>
      <c r="F258" s="48" t="s">
        <v>195</v>
      </c>
      <c r="G258" s="48">
        <v>8</v>
      </c>
      <c r="H258" s="48"/>
      <c r="I258" s="48"/>
      <c r="J258" s="48">
        <v>53</v>
      </c>
      <c r="K258" s="44" t="s">
        <v>196</v>
      </c>
      <c r="L258" s="46"/>
      <c r="M258" s="47" t="s">
        <v>57</v>
      </c>
    </row>
    <row r="259" spans="1:13">
      <c r="A259" s="43" t="s">
        <v>244</v>
      </c>
      <c r="B259" s="43" t="s">
        <v>245</v>
      </c>
      <c r="C259" s="51">
        <v>11</v>
      </c>
      <c r="D259" s="52" t="s">
        <v>198</v>
      </c>
      <c r="E259" s="47">
        <v>0</v>
      </c>
      <c r="F259" s="48" t="s">
        <v>195</v>
      </c>
      <c r="G259" s="48">
        <v>8</v>
      </c>
      <c r="H259" s="48"/>
      <c r="I259" s="48"/>
      <c r="J259" s="48">
        <v>61</v>
      </c>
      <c r="K259" s="44" t="s">
        <v>196</v>
      </c>
      <c r="L259" s="46"/>
      <c r="M259" s="47" t="s">
        <v>57</v>
      </c>
    </row>
    <row r="260" spans="1:13">
      <c r="A260" s="43" t="s">
        <v>244</v>
      </c>
      <c r="B260" s="43" t="s">
        <v>245</v>
      </c>
      <c r="C260" s="51">
        <v>12</v>
      </c>
      <c r="D260" s="52" t="s">
        <v>199</v>
      </c>
      <c r="E260" s="47">
        <v>0</v>
      </c>
      <c r="F260" s="48" t="s">
        <v>195</v>
      </c>
      <c r="G260" s="48">
        <v>8</v>
      </c>
      <c r="H260" s="48"/>
      <c r="I260" s="48"/>
      <c r="J260" s="48">
        <v>69</v>
      </c>
      <c r="K260" s="44" t="s">
        <v>196</v>
      </c>
      <c r="L260" s="46"/>
      <c r="M260" s="47" t="s">
        <v>57</v>
      </c>
    </row>
    <row r="261" spans="1:13">
      <c r="A261" s="43" t="s">
        <v>244</v>
      </c>
      <c r="B261" s="43" t="s">
        <v>245</v>
      </c>
      <c r="C261" s="51">
        <v>13</v>
      </c>
      <c r="D261" s="52" t="s">
        <v>200</v>
      </c>
      <c r="E261" s="47">
        <v>0</v>
      </c>
      <c r="F261" s="48" t="s">
        <v>195</v>
      </c>
      <c r="G261" s="48">
        <v>8</v>
      </c>
      <c r="H261" s="48"/>
      <c r="I261" s="48"/>
      <c r="J261" s="48">
        <v>77</v>
      </c>
      <c r="K261" s="44" t="s">
        <v>196</v>
      </c>
      <c r="L261" s="46"/>
      <c r="M261" s="47" t="s">
        <v>57</v>
      </c>
    </row>
    <row r="262" spans="1:13">
      <c r="A262" s="43" t="s">
        <v>244</v>
      </c>
      <c r="B262" s="43" t="s">
        <v>245</v>
      </c>
      <c r="C262" s="51">
        <v>14</v>
      </c>
      <c r="D262" s="52" t="s">
        <v>201</v>
      </c>
      <c r="E262" s="47">
        <v>0</v>
      </c>
      <c r="F262" s="48" t="s">
        <v>187</v>
      </c>
      <c r="G262" s="48">
        <v>8</v>
      </c>
      <c r="H262" s="48"/>
      <c r="I262" s="48"/>
      <c r="J262" s="48">
        <v>85</v>
      </c>
      <c r="K262" s="44"/>
      <c r="L262" s="46"/>
      <c r="M262" s="47" t="s">
        <v>57</v>
      </c>
    </row>
    <row r="263" spans="1:13">
      <c r="A263" s="43" t="s">
        <v>244</v>
      </c>
      <c r="B263" s="43" t="s">
        <v>245</v>
      </c>
      <c r="C263" s="51">
        <v>15</v>
      </c>
      <c r="D263" s="52" t="s">
        <v>202</v>
      </c>
      <c r="E263" s="47">
        <v>0</v>
      </c>
      <c r="F263" s="48" t="s">
        <v>203</v>
      </c>
      <c r="G263" s="48">
        <v>12</v>
      </c>
      <c r="H263" s="48"/>
      <c r="I263" s="48"/>
      <c r="J263" s="48">
        <v>97</v>
      </c>
      <c r="K263" s="44"/>
      <c r="L263" s="46"/>
      <c r="M263" s="47" t="s">
        <v>57</v>
      </c>
    </row>
    <row r="264" spans="1:13">
      <c r="A264" s="43" t="s">
        <v>244</v>
      </c>
      <c r="B264" s="43" t="s">
        <v>245</v>
      </c>
      <c r="C264" s="51">
        <v>16</v>
      </c>
      <c r="D264" s="52" t="s">
        <v>204</v>
      </c>
      <c r="E264" s="47">
        <v>0</v>
      </c>
      <c r="F264" s="48" t="s">
        <v>187</v>
      </c>
      <c r="G264" s="48">
        <v>9</v>
      </c>
      <c r="H264" s="48"/>
      <c r="I264" s="48"/>
      <c r="J264" s="48">
        <v>106</v>
      </c>
      <c r="K264" s="44"/>
      <c r="L264" s="46"/>
      <c r="M264" s="47" t="s">
        <v>57</v>
      </c>
    </row>
    <row r="265" spans="1:13">
      <c r="A265" s="43" t="s">
        <v>244</v>
      </c>
      <c r="B265" s="43" t="s">
        <v>245</v>
      </c>
      <c r="C265" s="51">
        <v>17</v>
      </c>
      <c r="D265" s="52" t="s">
        <v>205</v>
      </c>
      <c r="E265" s="47">
        <v>0</v>
      </c>
      <c r="F265" s="48" t="s">
        <v>203</v>
      </c>
      <c r="G265" s="48">
        <v>11</v>
      </c>
      <c r="H265" s="48"/>
      <c r="I265" s="48"/>
      <c r="J265" s="48">
        <v>117</v>
      </c>
      <c r="K265" s="44"/>
      <c r="L265" s="46"/>
      <c r="M265" s="47" t="s">
        <v>57</v>
      </c>
    </row>
    <row r="266" spans="1:13">
      <c r="A266" s="43" t="s">
        <v>244</v>
      </c>
      <c r="B266" s="43" t="s">
        <v>245</v>
      </c>
      <c r="C266" s="51">
        <v>18</v>
      </c>
      <c r="D266" s="52" t="s">
        <v>206</v>
      </c>
      <c r="E266" s="47">
        <v>0</v>
      </c>
      <c r="F266" s="48" t="s">
        <v>183</v>
      </c>
      <c r="G266" s="48">
        <v>3</v>
      </c>
      <c r="H266" s="48" t="s">
        <v>207</v>
      </c>
      <c r="I266" s="48">
        <v>6</v>
      </c>
      <c r="J266" s="48">
        <v>120</v>
      </c>
      <c r="K266" s="44"/>
      <c r="L266" s="46"/>
      <c r="M266" s="47" t="s">
        <v>57</v>
      </c>
    </row>
    <row r="267" spans="1:13">
      <c r="A267" s="43" t="s">
        <v>247</v>
      </c>
      <c r="B267" s="43" t="s">
        <v>248</v>
      </c>
      <c r="C267" s="51">
        <v>1</v>
      </c>
      <c r="D267" s="52" t="s">
        <v>182</v>
      </c>
      <c r="E267" s="47">
        <v>0</v>
      </c>
      <c r="F267" s="48" t="s">
        <v>183</v>
      </c>
      <c r="G267" s="48">
        <v>2</v>
      </c>
      <c r="H267" s="48"/>
      <c r="I267" s="48"/>
      <c r="J267" s="48">
        <v>2</v>
      </c>
      <c r="K267" s="63" t="s">
        <v>184</v>
      </c>
      <c r="L267" s="46"/>
      <c r="M267" s="47" t="s">
        <v>57</v>
      </c>
    </row>
    <row r="268" spans="1:13">
      <c r="A268" s="43" t="s">
        <v>247</v>
      </c>
      <c r="B268" s="43" t="s">
        <v>248</v>
      </c>
      <c r="C268" s="51">
        <v>2</v>
      </c>
      <c r="D268" s="52" t="s">
        <v>185</v>
      </c>
      <c r="E268" s="47">
        <v>0</v>
      </c>
      <c r="F268" s="48" t="s">
        <v>183</v>
      </c>
      <c r="G268" s="48">
        <v>1</v>
      </c>
      <c r="H268" s="48"/>
      <c r="I268" s="48"/>
      <c r="J268" s="48">
        <v>3</v>
      </c>
      <c r="K268" s="44">
        <v>0</v>
      </c>
      <c r="L268" s="46"/>
      <c r="M268" s="47" t="s">
        <v>57</v>
      </c>
    </row>
    <row r="269" spans="1:13">
      <c r="A269" s="43" t="s">
        <v>247</v>
      </c>
      <c r="B269" s="43" t="s">
        <v>248</v>
      </c>
      <c r="C269" s="51">
        <v>3</v>
      </c>
      <c r="D269" s="52" t="s">
        <v>186</v>
      </c>
      <c r="E269" s="47">
        <v>0</v>
      </c>
      <c r="F269" s="48" t="s">
        <v>187</v>
      </c>
      <c r="G269" s="48">
        <v>5</v>
      </c>
      <c r="H269" s="48"/>
      <c r="I269" s="48"/>
      <c r="J269" s="48">
        <v>8</v>
      </c>
      <c r="K269" s="44"/>
      <c r="L269" s="46"/>
      <c r="M269" s="47" t="s">
        <v>57</v>
      </c>
    </row>
    <row r="270" spans="1:13">
      <c r="A270" s="43" t="s">
        <v>247</v>
      </c>
      <c r="B270" s="43" t="s">
        <v>248</v>
      </c>
      <c r="C270" s="51">
        <v>4</v>
      </c>
      <c r="D270" s="52" t="s">
        <v>188</v>
      </c>
      <c r="E270" s="47">
        <v>0</v>
      </c>
      <c r="F270" s="48" t="s">
        <v>183</v>
      </c>
      <c r="G270" s="48">
        <v>8</v>
      </c>
      <c r="H270" s="48"/>
      <c r="I270" s="48"/>
      <c r="J270" s="48">
        <v>16</v>
      </c>
      <c r="K270" s="44"/>
      <c r="L270" s="46"/>
      <c r="M270" s="47" t="s">
        <v>57</v>
      </c>
    </row>
    <row r="271" spans="1:13">
      <c r="A271" s="43" t="s">
        <v>247</v>
      </c>
      <c r="B271" s="43" t="s">
        <v>248</v>
      </c>
      <c r="C271" s="51">
        <v>5</v>
      </c>
      <c r="D271" s="52" t="s">
        <v>189</v>
      </c>
      <c r="E271" s="47">
        <v>0</v>
      </c>
      <c r="F271" s="48" t="s">
        <v>183</v>
      </c>
      <c r="G271" s="48">
        <v>6</v>
      </c>
      <c r="H271" s="48" t="s">
        <v>190</v>
      </c>
      <c r="I271" s="48"/>
      <c r="J271" s="48">
        <v>22</v>
      </c>
      <c r="K271" s="44" t="s">
        <v>191</v>
      </c>
      <c r="L271" s="46"/>
      <c r="M271" s="47" t="s">
        <v>57</v>
      </c>
    </row>
    <row r="272" spans="1:13">
      <c r="A272" s="43" t="s">
        <v>247</v>
      </c>
      <c r="B272" s="43" t="s">
        <v>248</v>
      </c>
      <c r="C272" s="51">
        <v>6</v>
      </c>
      <c r="D272" s="52" t="s">
        <v>246</v>
      </c>
      <c r="E272" s="47">
        <v>0</v>
      </c>
      <c r="F272" s="48" t="s">
        <v>183</v>
      </c>
      <c r="G272" s="48">
        <v>3</v>
      </c>
      <c r="H272" s="48"/>
      <c r="I272" s="48"/>
      <c r="J272" s="48">
        <v>25</v>
      </c>
      <c r="K272" s="44"/>
      <c r="L272" s="46"/>
      <c r="M272" s="47" t="s">
        <v>57</v>
      </c>
    </row>
    <row r="273" spans="1:13">
      <c r="A273" s="43" t="s">
        <v>247</v>
      </c>
      <c r="B273" s="43" t="s">
        <v>248</v>
      </c>
      <c r="C273" s="51">
        <v>7</v>
      </c>
      <c r="D273" s="52" t="s">
        <v>192</v>
      </c>
      <c r="E273" s="47">
        <v>0</v>
      </c>
      <c r="F273" s="48" t="s">
        <v>187</v>
      </c>
      <c r="G273" s="48">
        <v>6</v>
      </c>
      <c r="H273" s="48"/>
      <c r="I273" s="48"/>
      <c r="J273" s="48">
        <v>31</v>
      </c>
      <c r="K273" s="44"/>
      <c r="L273" s="46"/>
      <c r="M273" s="47" t="s">
        <v>57</v>
      </c>
    </row>
    <row r="274" spans="1:13">
      <c r="A274" s="43" t="s">
        <v>247</v>
      </c>
      <c r="B274" s="43" t="s">
        <v>248</v>
      </c>
      <c r="C274" s="51">
        <v>8</v>
      </c>
      <c r="D274" s="52" t="s">
        <v>193</v>
      </c>
      <c r="E274" s="47">
        <v>0</v>
      </c>
      <c r="F274" s="48" t="s">
        <v>187</v>
      </c>
      <c r="G274" s="48">
        <v>6</v>
      </c>
      <c r="H274" s="48"/>
      <c r="I274" s="48"/>
      <c r="J274" s="48">
        <v>37</v>
      </c>
      <c r="K274" s="44"/>
      <c r="L274" s="46"/>
      <c r="M274" s="47" t="s">
        <v>57</v>
      </c>
    </row>
    <row r="275" spans="1:13">
      <c r="A275" s="43" t="s">
        <v>247</v>
      </c>
      <c r="B275" s="43" t="s">
        <v>248</v>
      </c>
      <c r="C275" s="51">
        <v>9</v>
      </c>
      <c r="D275" s="52" t="s">
        <v>210</v>
      </c>
      <c r="E275" s="47">
        <v>0</v>
      </c>
      <c r="F275" s="48" t="s">
        <v>195</v>
      </c>
      <c r="G275" s="48">
        <v>8</v>
      </c>
      <c r="H275" s="48"/>
      <c r="I275" s="48"/>
      <c r="J275" s="48">
        <v>45</v>
      </c>
      <c r="K275" s="44" t="s">
        <v>196</v>
      </c>
      <c r="L275" s="46"/>
      <c r="M275" s="47" t="s">
        <v>57</v>
      </c>
    </row>
    <row r="276" spans="1:13">
      <c r="A276" s="43" t="s">
        <v>247</v>
      </c>
      <c r="B276" s="43" t="s">
        <v>248</v>
      </c>
      <c r="C276" s="51">
        <v>10</v>
      </c>
      <c r="D276" s="52" t="s">
        <v>197</v>
      </c>
      <c r="E276" s="47">
        <v>0</v>
      </c>
      <c r="F276" s="48" t="s">
        <v>195</v>
      </c>
      <c r="G276" s="48">
        <v>8</v>
      </c>
      <c r="H276" s="48"/>
      <c r="I276" s="48"/>
      <c r="J276" s="48">
        <v>53</v>
      </c>
      <c r="K276" s="44" t="s">
        <v>196</v>
      </c>
      <c r="L276" s="46"/>
      <c r="M276" s="47" t="s">
        <v>57</v>
      </c>
    </row>
    <row r="277" spans="1:13">
      <c r="A277" s="43" t="s">
        <v>247</v>
      </c>
      <c r="B277" s="43" t="s">
        <v>248</v>
      </c>
      <c r="C277" s="51">
        <v>11</v>
      </c>
      <c r="D277" s="52" t="s">
        <v>198</v>
      </c>
      <c r="E277" s="47">
        <v>0</v>
      </c>
      <c r="F277" s="48" t="s">
        <v>195</v>
      </c>
      <c r="G277" s="48">
        <v>8</v>
      </c>
      <c r="H277" s="48"/>
      <c r="I277" s="48"/>
      <c r="J277" s="48">
        <v>61</v>
      </c>
      <c r="K277" s="44" t="s">
        <v>196</v>
      </c>
      <c r="L277" s="46"/>
      <c r="M277" s="47" t="s">
        <v>57</v>
      </c>
    </row>
    <row r="278" spans="1:13">
      <c r="A278" s="43" t="s">
        <v>247</v>
      </c>
      <c r="B278" s="43" t="s">
        <v>248</v>
      </c>
      <c r="C278" s="51">
        <v>12</v>
      </c>
      <c r="D278" s="52" t="s">
        <v>199</v>
      </c>
      <c r="E278" s="47">
        <v>0</v>
      </c>
      <c r="F278" s="48" t="s">
        <v>195</v>
      </c>
      <c r="G278" s="48">
        <v>8</v>
      </c>
      <c r="H278" s="48"/>
      <c r="I278" s="48"/>
      <c r="J278" s="48">
        <v>69</v>
      </c>
      <c r="K278" s="44" t="s">
        <v>196</v>
      </c>
      <c r="L278" s="46"/>
      <c r="M278" s="47" t="s">
        <v>57</v>
      </c>
    </row>
    <row r="279" spans="1:13">
      <c r="A279" s="43" t="s">
        <v>247</v>
      </c>
      <c r="B279" s="43" t="s">
        <v>248</v>
      </c>
      <c r="C279" s="51">
        <v>13</v>
      </c>
      <c r="D279" s="52" t="s">
        <v>200</v>
      </c>
      <c r="E279" s="47">
        <v>0</v>
      </c>
      <c r="F279" s="48" t="s">
        <v>195</v>
      </c>
      <c r="G279" s="48">
        <v>8</v>
      </c>
      <c r="H279" s="48"/>
      <c r="I279" s="48"/>
      <c r="J279" s="48">
        <v>77</v>
      </c>
      <c r="K279" s="44" t="s">
        <v>196</v>
      </c>
      <c r="L279" s="46"/>
      <c r="M279" s="47" t="s">
        <v>57</v>
      </c>
    </row>
    <row r="280" spans="1:13">
      <c r="A280" s="43" t="s">
        <v>247</v>
      </c>
      <c r="B280" s="43" t="s">
        <v>248</v>
      </c>
      <c r="C280" s="51">
        <v>14</v>
      </c>
      <c r="D280" s="52" t="s">
        <v>201</v>
      </c>
      <c r="E280" s="47">
        <v>0</v>
      </c>
      <c r="F280" s="48" t="s">
        <v>187</v>
      </c>
      <c r="G280" s="48">
        <v>8</v>
      </c>
      <c r="H280" s="48"/>
      <c r="I280" s="48"/>
      <c r="J280" s="48">
        <v>85</v>
      </c>
      <c r="K280" s="44"/>
      <c r="L280" s="46"/>
      <c r="M280" s="47" t="s">
        <v>57</v>
      </c>
    </row>
    <row r="281" spans="1:13">
      <c r="A281" s="43" t="s">
        <v>247</v>
      </c>
      <c r="B281" s="43" t="s">
        <v>248</v>
      </c>
      <c r="C281" s="51">
        <v>15</v>
      </c>
      <c r="D281" s="52" t="s">
        <v>202</v>
      </c>
      <c r="E281" s="47">
        <v>0</v>
      </c>
      <c r="F281" s="48" t="s">
        <v>203</v>
      </c>
      <c r="G281" s="48">
        <v>12</v>
      </c>
      <c r="H281" s="48"/>
      <c r="I281" s="48"/>
      <c r="J281" s="48">
        <v>97</v>
      </c>
      <c r="K281" s="44"/>
      <c r="L281" s="46"/>
      <c r="M281" s="47" t="s">
        <v>57</v>
      </c>
    </row>
    <row r="282" spans="1:13">
      <c r="A282" s="43" t="s">
        <v>247</v>
      </c>
      <c r="B282" s="43" t="s">
        <v>248</v>
      </c>
      <c r="C282" s="51">
        <v>16</v>
      </c>
      <c r="D282" s="52" t="s">
        <v>204</v>
      </c>
      <c r="E282" s="47">
        <v>0</v>
      </c>
      <c r="F282" s="48" t="s">
        <v>187</v>
      </c>
      <c r="G282" s="48">
        <v>9</v>
      </c>
      <c r="H282" s="48"/>
      <c r="I282" s="48"/>
      <c r="J282" s="48">
        <v>106</v>
      </c>
      <c r="K282" s="44"/>
      <c r="L282" s="46"/>
      <c r="M282" s="47" t="s">
        <v>57</v>
      </c>
    </row>
    <row r="283" spans="1:13">
      <c r="A283" s="43" t="s">
        <v>247</v>
      </c>
      <c r="B283" s="43" t="s">
        <v>248</v>
      </c>
      <c r="C283" s="51">
        <v>17</v>
      </c>
      <c r="D283" s="52" t="s">
        <v>205</v>
      </c>
      <c r="E283" s="47">
        <v>0</v>
      </c>
      <c r="F283" s="48" t="s">
        <v>203</v>
      </c>
      <c r="G283" s="48">
        <v>11</v>
      </c>
      <c r="H283" s="48"/>
      <c r="I283" s="48"/>
      <c r="J283" s="48">
        <v>117</v>
      </c>
      <c r="K283" s="44"/>
      <c r="L283" s="46"/>
      <c r="M283" s="47" t="s">
        <v>57</v>
      </c>
    </row>
    <row r="284" spans="1:13">
      <c r="A284" s="43" t="s">
        <v>247</v>
      </c>
      <c r="B284" s="43" t="s">
        <v>248</v>
      </c>
      <c r="C284" s="51">
        <v>18</v>
      </c>
      <c r="D284" s="52" t="s">
        <v>206</v>
      </c>
      <c r="E284" s="47">
        <v>0</v>
      </c>
      <c r="F284" s="48" t="s">
        <v>183</v>
      </c>
      <c r="G284" s="48">
        <v>3</v>
      </c>
      <c r="H284" s="48" t="s">
        <v>207</v>
      </c>
      <c r="I284" s="48">
        <v>9</v>
      </c>
      <c r="J284" s="48">
        <v>120</v>
      </c>
      <c r="K284" s="44"/>
      <c r="L284" s="46"/>
      <c r="M284" s="47" t="s">
        <v>57</v>
      </c>
    </row>
    <row r="285" spans="1:13">
      <c r="A285" s="43" t="s">
        <v>249</v>
      </c>
      <c r="B285" s="43" t="s">
        <v>250</v>
      </c>
      <c r="C285" s="51">
        <v>1</v>
      </c>
      <c r="D285" s="52" t="s">
        <v>186</v>
      </c>
      <c r="E285" s="47">
        <v>0</v>
      </c>
      <c r="F285" s="48" t="s">
        <v>187</v>
      </c>
      <c r="G285" s="48">
        <v>4</v>
      </c>
      <c r="H285" s="48"/>
      <c r="I285" s="48"/>
      <c r="J285" s="48">
        <v>4</v>
      </c>
      <c r="K285" s="44"/>
      <c r="L285" s="46"/>
      <c r="M285" s="47" t="s">
        <v>57</v>
      </c>
    </row>
    <row r="286" spans="1:13">
      <c r="A286" s="43" t="s">
        <v>249</v>
      </c>
      <c r="B286" s="43" t="s">
        <v>250</v>
      </c>
      <c r="C286" s="51">
        <v>2</v>
      </c>
      <c r="D286" s="52" t="s">
        <v>251</v>
      </c>
      <c r="E286" s="47">
        <v>0</v>
      </c>
      <c r="F286" s="48" t="s">
        <v>183</v>
      </c>
      <c r="G286" s="48">
        <v>6</v>
      </c>
      <c r="H286" s="23"/>
      <c r="I286" s="48"/>
      <c r="J286" s="23">
        <v>10</v>
      </c>
      <c r="K286" s="44" t="s">
        <v>251</v>
      </c>
      <c r="L286" s="46"/>
      <c r="M286" s="47" t="s">
        <v>57</v>
      </c>
    </row>
    <row r="287" spans="1:13">
      <c r="A287" s="43" t="s">
        <v>249</v>
      </c>
      <c r="B287" s="43" t="s">
        <v>250</v>
      </c>
      <c r="C287" s="51">
        <v>3</v>
      </c>
      <c r="D287" s="52" t="s">
        <v>252</v>
      </c>
      <c r="E287" s="47">
        <v>0</v>
      </c>
      <c r="F287" s="48" t="s">
        <v>183</v>
      </c>
      <c r="G287" s="48">
        <v>8</v>
      </c>
      <c r="H287" s="48"/>
      <c r="I287" s="48"/>
      <c r="J287" s="48">
        <v>18</v>
      </c>
      <c r="K287" s="44" t="s">
        <v>252</v>
      </c>
      <c r="L287" s="46"/>
      <c r="M287" s="47" t="s">
        <v>57</v>
      </c>
    </row>
    <row r="288" spans="1:13">
      <c r="A288" s="43" t="s">
        <v>249</v>
      </c>
      <c r="B288" s="43" t="s">
        <v>250</v>
      </c>
      <c r="C288" s="51">
        <v>4</v>
      </c>
      <c r="D288" s="52" t="s">
        <v>253</v>
      </c>
      <c r="E288" s="47">
        <v>0</v>
      </c>
      <c r="F288" s="48" t="s">
        <v>183</v>
      </c>
      <c r="G288" s="48">
        <v>6</v>
      </c>
      <c r="H288" s="48"/>
      <c r="I288" s="48"/>
      <c r="J288" s="48">
        <v>24</v>
      </c>
      <c r="K288" s="44" t="s">
        <v>254</v>
      </c>
      <c r="L288" s="46"/>
      <c r="M288" s="47" t="s">
        <v>57</v>
      </c>
    </row>
    <row r="289" spans="1:13">
      <c r="A289" s="43" t="s">
        <v>249</v>
      </c>
      <c r="B289" s="43" t="s">
        <v>250</v>
      </c>
      <c r="C289" s="51">
        <v>5</v>
      </c>
      <c r="D289" s="52" t="s">
        <v>255</v>
      </c>
      <c r="E289" s="47">
        <v>0</v>
      </c>
      <c r="F289" s="48" t="s">
        <v>195</v>
      </c>
      <c r="G289" s="48">
        <v>10</v>
      </c>
      <c r="H289" s="48"/>
      <c r="I289" s="48"/>
      <c r="J289" s="48">
        <v>34</v>
      </c>
      <c r="K289" s="44" t="s">
        <v>256</v>
      </c>
      <c r="L289" s="46"/>
      <c r="M289" s="47" t="s">
        <v>57</v>
      </c>
    </row>
    <row r="290" spans="1:13">
      <c r="A290" s="43" t="s">
        <v>249</v>
      </c>
      <c r="B290" s="43" t="s">
        <v>250</v>
      </c>
      <c r="C290" s="51">
        <v>6</v>
      </c>
      <c r="D290" s="52" t="s">
        <v>257</v>
      </c>
      <c r="E290" s="47">
        <v>0</v>
      </c>
      <c r="F290" s="48" t="s">
        <v>195</v>
      </c>
      <c r="G290" s="48">
        <v>10</v>
      </c>
      <c r="H290" s="48"/>
      <c r="I290" s="48"/>
      <c r="J290" s="48">
        <v>44</v>
      </c>
      <c r="K290" s="44" t="s">
        <v>256</v>
      </c>
      <c r="L290" s="46"/>
      <c r="M290" s="47" t="s">
        <v>57</v>
      </c>
    </row>
    <row r="291" spans="1:13">
      <c r="A291" s="43" t="s">
        <v>249</v>
      </c>
      <c r="B291" s="43" t="s">
        <v>250</v>
      </c>
      <c r="C291" s="51">
        <v>7</v>
      </c>
      <c r="D291" s="52" t="s">
        <v>258</v>
      </c>
      <c r="E291" s="47">
        <v>0</v>
      </c>
      <c r="F291" s="48" t="s">
        <v>195</v>
      </c>
      <c r="G291" s="48">
        <v>10</v>
      </c>
      <c r="H291" s="48"/>
      <c r="I291" s="48"/>
      <c r="J291" s="48">
        <v>54</v>
      </c>
      <c r="K291" s="44" t="s">
        <v>256</v>
      </c>
      <c r="L291" s="46"/>
      <c r="M291" s="47" t="s">
        <v>57</v>
      </c>
    </row>
    <row r="292" spans="1:13">
      <c r="A292" s="43" t="s">
        <v>249</v>
      </c>
      <c r="B292" s="43" t="s">
        <v>250</v>
      </c>
      <c r="C292" s="51">
        <v>8</v>
      </c>
      <c r="D292" s="52" t="s">
        <v>259</v>
      </c>
      <c r="E292" s="47">
        <v>0</v>
      </c>
      <c r="F292" s="48" t="s">
        <v>195</v>
      </c>
      <c r="G292" s="48">
        <v>10</v>
      </c>
      <c r="H292" s="48"/>
      <c r="I292" s="48"/>
      <c r="J292" s="48">
        <v>64</v>
      </c>
      <c r="K292" s="44" t="s">
        <v>256</v>
      </c>
      <c r="L292" s="46"/>
      <c r="M292" s="47" t="s">
        <v>57</v>
      </c>
    </row>
    <row r="293" spans="1:13">
      <c r="A293" s="43" t="s">
        <v>249</v>
      </c>
      <c r="B293" s="43" t="s">
        <v>250</v>
      </c>
      <c r="C293" s="51">
        <v>9</v>
      </c>
      <c r="D293" s="52" t="s">
        <v>260</v>
      </c>
      <c r="E293" s="47">
        <v>0</v>
      </c>
      <c r="F293" s="48" t="s">
        <v>195</v>
      </c>
      <c r="G293" s="48">
        <v>10</v>
      </c>
      <c r="H293" s="48"/>
      <c r="I293" s="48"/>
      <c r="J293" s="48">
        <v>74</v>
      </c>
      <c r="K293" s="44" t="s">
        <v>256</v>
      </c>
      <c r="L293" s="46"/>
      <c r="M293" s="47" t="s">
        <v>57</v>
      </c>
    </row>
    <row r="294" spans="1:13">
      <c r="A294" s="43" t="s">
        <v>249</v>
      </c>
      <c r="B294" s="43" t="s">
        <v>250</v>
      </c>
      <c r="C294" s="51">
        <v>10</v>
      </c>
      <c r="D294" s="52" t="s">
        <v>261</v>
      </c>
      <c r="E294" s="47">
        <v>0</v>
      </c>
      <c r="F294" s="48" t="s">
        <v>195</v>
      </c>
      <c r="G294" s="48">
        <v>9</v>
      </c>
      <c r="H294" s="48"/>
      <c r="I294" s="48"/>
      <c r="J294" s="48">
        <v>83</v>
      </c>
      <c r="K294" s="44" t="s">
        <v>262</v>
      </c>
      <c r="L294" s="46"/>
      <c r="M294" s="47" t="s">
        <v>57</v>
      </c>
    </row>
    <row r="295" spans="1:13">
      <c r="A295" s="43" t="s">
        <v>249</v>
      </c>
      <c r="B295" s="43" t="s">
        <v>250</v>
      </c>
      <c r="C295" s="51">
        <v>11</v>
      </c>
      <c r="D295" s="52" t="s">
        <v>263</v>
      </c>
      <c r="E295" s="47">
        <v>0</v>
      </c>
      <c r="F295" s="48" t="s">
        <v>195</v>
      </c>
      <c r="G295" s="48">
        <v>6</v>
      </c>
      <c r="H295" s="48"/>
      <c r="I295" s="48"/>
      <c r="J295" s="48">
        <v>89</v>
      </c>
      <c r="K295" s="44" t="s">
        <v>264</v>
      </c>
      <c r="L295" s="46"/>
      <c r="M295" s="47" t="s">
        <v>57</v>
      </c>
    </row>
    <row r="296" spans="1:13">
      <c r="A296" s="43" t="s">
        <v>249</v>
      </c>
      <c r="B296" s="43" t="s">
        <v>250</v>
      </c>
      <c r="C296" s="51">
        <v>12</v>
      </c>
      <c r="D296" s="52" t="s">
        <v>265</v>
      </c>
      <c r="E296" s="47">
        <v>0</v>
      </c>
      <c r="F296" s="48" t="s">
        <v>195</v>
      </c>
      <c r="G296" s="48">
        <v>6</v>
      </c>
      <c r="H296" s="48"/>
      <c r="I296" s="48"/>
      <c r="J296" s="48">
        <v>95</v>
      </c>
      <c r="K296" s="44" t="s">
        <v>264</v>
      </c>
      <c r="L296" s="46"/>
      <c r="M296" s="47" t="s">
        <v>57</v>
      </c>
    </row>
    <row r="297" spans="1:13">
      <c r="A297" s="43" t="s">
        <v>249</v>
      </c>
      <c r="B297" s="43" t="s">
        <v>250</v>
      </c>
      <c r="C297" s="51">
        <v>13</v>
      </c>
      <c r="D297" s="52" t="s">
        <v>266</v>
      </c>
      <c r="E297" s="47">
        <v>0</v>
      </c>
      <c r="F297" s="48" t="s">
        <v>195</v>
      </c>
      <c r="G297" s="48">
        <v>6</v>
      </c>
      <c r="H297" s="48"/>
      <c r="I297" s="48"/>
      <c r="J297" s="48">
        <v>101</v>
      </c>
      <c r="K297" s="44" t="s">
        <v>264</v>
      </c>
      <c r="L297" s="46"/>
      <c r="M297" s="47" t="s">
        <v>57</v>
      </c>
    </row>
    <row r="298" spans="1:13">
      <c r="A298" s="43" t="s">
        <v>249</v>
      </c>
      <c r="B298" s="43" t="s">
        <v>250</v>
      </c>
      <c r="C298" s="51">
        <v>14</v>
      </c>
      <c r="D298" s="52" t="s">
        <v>267</v>
      </c>
      <c r="E298" s="47">
        <v>0</v>
      </c>
      <c r="F298" s="48" t="s">
        <v>195</v>
      </c>
      <c r="G298" s="48">
        <v>6</v>
      </c>
      <c r="H298" s="48"/>
      <c r="I298" s="48"/>
      <c r="J298" s="48">
        <v>107</v>
      </c>
      <c r="K298" s="44" t="s">
        <v>264</v>
      </c>
      <c r="L298" s="46"/>
      <c r="M298" s="47" t="s">
        <v>57</v>
      </c>
    </row>
    <row r="299" spans="1:13">
      <c r="A299" s="43" t="s">
        <v>249</v>
      </c>
      <c r="B299" s="43" t="s">
        <v>250</v>
      </c>
      <c r="C299" s="51">
        <v>15</v>
      </c>
      <c r="D299" s="52" t="s">
        <v>206</v>
      </c>
      <c r="E299" s="47">
        <v>0</v>
      </c>
      <c r="F299" s="48" t="s">
        <v>183</v>
      </c>
      <c r="G299" s="48">
        <v>8</v>
      </c>
      <c r="H299" s="48"/>
      <c r="I299" s="48"/>
      <c r="J299" s="48">
        <v>115</v>
      </c>
      <c r="K299" s="44"/>
      <c r="L299" s="46"/>
      <c r="M299" s="47" t="s">
        <v>57</v>
      </c>
    </row>
    <row r="300" spans="1:13">
      <c r="A300" s="43" t="s">
        <v>268</v>
      </c>
      <c r="B300" s="43" t="s">
        <v>138</v>
      </c>
      <c r="C300" s="51">
        <v>1</v>
      </c>
      <c r="D300" s="52" t="s">
        <v>182</v>
      </c>
      <c r="E300" s="47">
        <v>0</v>
      </c>
      <c r="F300" s="48" t="s">
        <v>183</v>
      </c>
      <c r="G300" s="48">
        <v>2</v>
      </c>
      <c r="H300" s="48"/>
      <c r="I300" s="48"/>
      <c r="J300" s="48">
        <v>2</v>
      </c>
      <c r="K300" s="63" t="s">
        <v>269</v>
      </c>
      <c r="L300" s="46"/>
      <c r="M300" s="47" t="s">
        <v>57</v>
      </c>
    </row>
    <row r="301" spans="1:13">
      <c r="A301" s="43" t="s">
        <v>268</v>
      </c>
      <c r="B301" s="43" t="s">
        <v>138</v>
      </c>
      <c r="C301" s="51">
        <v>2</v>
      </c>
      <c r="D301" s="52" t="s">
        <v>270</v>
      </c>
      <c r="E301" s="47">
        <v>0</v>
      </c>
      <c r="F301" s="48" t="s">
        <v>183</v>
      </c>
      <c r="G301" s="48">
        <v>2</v>
      </c>
      <c r="H301" s="48"/>
      <c r="I301" s="48"/>
      <c r="J301" s="48">
        <v>4</v>
      </c>
      <c r="K301" s="44"/>
      <c r="L301" s="46"/>
      <c r="M301" s="47" t="s">
        <v>57</v>
      </c>
    </row>
    <row r="302" spans="1:13">
      <c r="A302" s="43" t="s">
        <v>268</v>
      </c>
      <c r="B302" s="43" t="s">
        <v>138</v>
      </c>
      <c r="C302" s="51">
        <v>3</v>
      </c>
      <c r="D302" s="52" t="s">
        <v>185</v>
      </c>
      <c r="E302" s="47">
        <v>0</v>
      </c>
      <c r="F302" s="48" t="s">
        <v>183</v>
      </c>
      <c r="G302" s="48">
        <v>1</v>
      </c>
      <c r="H302" s="48"/>
      <c r="I302" s="48"/>
      <c r="J302" s="48">
        <v>5</v>
      </c>
      <c r="K302" s="44">
        <v>0</v>
      </c>
      <c r="L302" s="46"/>
      <c r="M302" s="47" t="s">
        <v>57</v>
      </c>
    </row>
    <row r="303" spans="1:13">
      <c r="A303" s="43" t="s">
        <v>268</v>
      </c>
      <c r="B303" s="43" t="s">
        <v>138</v>
      </c>
      <c r="C303" s="51">
        <v>4</v>
      </c>
      <c r="D303" s="52" t="s">
        <v>271</v>
      </c>
      <c r="E303" s="47">
        <v>0</v>
      </c>
      <c r="F303" s="48" t="s">
        <v>183</v>
      </c>
      <c r="G303" s="48">
        <v>8</v>
      </c>
      <c r="H303" s="48"/>
      <c r="I303" s="48"/>
      <c r="J303" s="48">
        <v>13</v>
      </c>
      <c r="K303" s="44"/>
      <c r="L303" s="46"/>
      <c r="M303" s="47" t="s">
        <v>57</v>
      </c>
    </row>
    <row r="304" spans="1:13">
      <c r="A304" s="43" t="s">
        <v>268</v>
      </c>
      <c r="B304" s="43" t="s">
        <v>138</v>
      </c>
      <c r="C304" s="51">
        <v>5</v>
      </c>
      <c r="D304" s="52" t="s">
        <v>272</v>
      </c>
      <c r="E304" s="47">
        <v>0</v>
      </c>
      <c r="F304" s="48" t="s">
        <v>183</v>
      </c>
      <c r="G304" s="48">
        <v>8</v>
      </c>
      <c r="H304" s="48"/>
      <c r="I304" s="48"/>
      <c r="J304" s="48">
        <v>21</v>
      </c>
      <c r="K304" s="44"/>
      <c r="L304" s="46"/>
      <c r="M304" s="47" t="s">
        <v>57</v>
      </c>
    </row>
    <row r="305" spans="1:13">
      <c r="A305" s="43" t="s">
        <v>268</v>
      </c>
      <c r="B305" s="43" t="s">
        <v>138</v>
      </c>
      <c r="C305" s="51">
        <v>6</v>
      </c>
      <c r="D305" s="52" t="s">
        <v>273</v>
      </c>
      <c r="E305" s="47">
        <v>0</v>
      </c>
      <c r="F305" s="48" t="s">
        <v>183</v>
      </c>
      <c r="G305" s="48">
        <v>5</v>
      </c>
      <c r="H305" s="48"/>
      <c r="I305" s="48"/>
      <c r="J305" s="48">
        <v>26</v>
      </c>
      <c r="K305" s="44"/>
      <c r="L305" s="46"/>
      <c r="M305" s="47" t="s">
        <v>57</v>
      </c>
    </row>
    <row r="306" spans="1:13">
      <c r="A306" s="43" t="s">
        <v>268</v>
      </c>
      <c r="B306" s="43" t="s">
        <v>138</v>
      </c>
      <c r="C306" s="51">
        <v>7</v>
      </c>
      <c r="D306" s="52" t="s">
        <v>274</v>
      </c>
      <c r="E306" s="47">
        <v>0</v>
      </c>
      <c r="F306" s="48" t="s">
        <v>183</v>
      </c>
      <c r="G306" s="48">
        <v>3</v>
      </c>
      <c r="H306" s="48"/>
      <c r="I306" s="48"/>
      <c r="J306" s="48">
        <v>29</v>
      </c>
      <c r="K306" s="44"/>
      <c r="L306" s="46"/>
      <c r="M306" s="47" t="s">
        <v>57</v>
      </c>
    </row>
    <row r="307" spans="1:13">
      <c r="A307" s="43" t="s">
        <v>268</v>
      </c>
      <c r="B307" s="43" t="s">
        <v>138</v>
      </c>
      <c r="C307" s="51">
        <v>8</v>
      </c>
      <c r="D307" s="52" t="s">
        <v>257</v>
      </c>
      <c r="E307" s="47">
        <v>6</v>
      </c>
      <c r="F307" s="48" t="s">
        <v>275</v>
      </c>
      <c r="G307" s="48">
        <v>16</v>
      </c>
      <c r="H307" s="48"/>
      <c r="I307" s="48"/>
      <c r="J307" s="48">
        <v>45</v>
      </c>
      <c r="K307" s="44"/>
      <c r="L307" s="55" t="s">
        <v>276</v>
      </c>
      <c r="M307" s="47" t="s">
        <v>57</v>
      </c>
    </row>
    <row r="308" spans="1:13">
      <c r="A308" s="43" t="s">
        <v>268</v>
      </c>
      <c r="B308" s="43" t="s">
        <v>138</v>
      </c>
      <c r="C308" s="51">
        <v>9</v>
      </c>
      <c r="D308" s="52" t="s">
        <v>255</v>
      </c>
      <c r="E308" s="47">
        <v>6</v>
      </c>
      <c r="F308" s="48" t="s">
        <v>275</v>
      </c>
      <c r="G308" s="48">
        <v>16</v>
      </c>
      <c r="H308" s="48"/>
      <c r="I308" s="48"/>
      <c r="J308" s="48">
        <v>61</v>
      </c>
      <c r="K308" s="44"/>
      <c r="L308" s="55" t="s">
        <v>276</v>
      </c>
      <c r="M308" s="47" t="s">
        <v>57</v>
      </c>
    </row>
    <row r="309" spans="1:13">
      <c r="A309" s="43" t="s">
        <v>268</v>
      </c>
      <c r="B309" s="43" t="s">
        <v>138</v>
      </c>
      <c r="C309" s="51">
        <v>10</v>
      </c>
      <c r="D309" s="52" t="s">
        <v>277</v>
      </c>
      <c r="E309" s="47">
        <v>6</v>
      </c>
      <c r="F309" s="48" t="s">
        <v>275</v>
      </c>
      <c r="G309" s="48">
        <v>16</v>
      </c>
      <c r="H309" s="48"/>
      <c r="I309" s="48"/>
      <c r="J309" s="48">
        <v>77</v>
      </c>
      <c r="K309" s="44"/>
      <c r="L309" s="55" t="s">
        <v>276</v>
      </c>
      <c r="M309" s="47" t="s">
        <v>57</v>
      </c>
    </row>
    <row r="310" spans="1:13">
      <c r="A310" s="43" t="s">
        <v>268</v>
      </c>
      <c r="B310" s="43" t="s">
        <v>138</v>
      </c>
      <c r="C310" s="51">
        <v>11</v>
      </c>
      <c r="D310" s="52" t="s">
        <v>278</v>
      </c>
      <c r="E310" s="47">
        <v>6</v>
      </c>
      <c r="F310" s="48" t="s">
        <v>275</v>
      </c>
      <c r="G310" s="48">
        <v>16</v>
      </c>
      <c r="H310" s="48"/>
      <c r="I310" s="48"/>
      <c r="J310" s="48">
        <v>93</v>
      </c>
      <c r="K310" s="44"/>
      <c r="L310" s="55" t="s">
        <v>276</v>
      </c>
      <c r="M310" s="47" t="s">
        <v>57</v>
      </c>
    </row>
    <row r="311" spans="1:13">
      <c r="A311" s="43" t="s">
        <v>268</v>
      </c>
      <c r="B311" s="43" t="s">
        <v>138</v>
      </c>
      <c r="C311" s="51">
        <v>12</v>
      </c>
      <c r="D311" s="52" t="s">
        <v>279</v>
      </c>
      <c r="E311" s="47">
        <v>6</v>
      </c>
      <c r="F311" s="48" t="s">
        <v>275</v>
      </c>
      <c r="G311" s="48">
        <v>16</v>
      </c>
      <c r="H311" s="48"/>
      <c r="I311" s="48"/>
      <c r="J311" s="48">
        <v>109</v>
      </c>
      <c r="K311" s="44"/>
      <c r="L311" s="55" t="s">
        <v>276</v>
      </c>
      <c r="M311" s="47" t="s">
        <v>57</v>
      </c>
    </row>
    <row r="312" spans="1:13">
      <c r="A312" s="43" t="s">
        <v>268</v>
      </c>
      <c r="B312" s="43" t="s">
        <v>138</v>
      </c>
      <c r="C312" s="51">
        <v>13</v>
      </c>
      <c r="D312" s="52" t="s">
        <v>280</v>
      </c>
      <c r="E312" s="47">
        <v>6</v>
      </c>
      <c r="F312" s="48" t="s">
        <v>275</v>
      </c>
      <c r="G312" s="48">
        <v>16</v>
      </c>
      <c r="H312" s="48"/>
      <c r="I312" s="48"/>
      <c r="J312" s="48">
        <v>125</v>
      </c>
      <c r="K312" s="44"/>
      <c r="L312" s="55" t="s">
        <v>276</v>
      </c>
      <c r="M312" s="47" t="s">
        <v>57</v>
      </c>
    </row>
    <row r="313" spans="1:13">
      <c r="A313" s="43" t="s">
        <v>268</v>
      </c>
      <c r="B313" s="43" t="s">
        <v>138</v>
      </c>
      <c r="C313" s="51">
        <v>14</v>
      </c>
      <c r="D313" s="52" t="s">
        <v>281</v>
      </c>
      <c r="E313" s="47">
        <v>6</v>
      </c>
      <c r="F313" s="48" t="s">
        <v>275</v>
      </c>
      <c r="G313" s="48">
        <v>16</v>
      </c>
      <c r="H313" s="48"/>
      <c r="I313" s="48"/>
      <c r="J313" s="48">
        <v>141</v>
      </c>
      <c r="K313" s="44"/>
      <c r="L313" s="55" t="s">
        <v>276</v>
      </c>
      <c r="M313" s="47" t="s">
        <v>57</v>
      </c>
    </row>
    <row r="314" spans="1:13">
      <c r="A314" s="43" t="s">
        <v>268</v>
      </c>
      <c r="B314" s="43" t="s">
        <v>138</v>
      </c>
      <c r="C314" s="51">
        <v>15</v>
      </c>
      <c r="D314" s="52" t="s">
        <v>282</v>
      </c>
      <c r="E314" s="47">
        <v>6</v>
      </c>
      <c r="F314" s="48" t="s">
        <v>275</v>
      </c>
      <c r="G314" s="48">
        <v>16</v>
      </c>
      <c r="H314" s="48"/>
      <c r="I314" s="48"/>
      <c r="J314" s="48">
        <v>157</v>
      </c>
      <c r="K314" s="44"/>
      <c r="L314" s="55" t="s">
        <v>276</v>
      </c>
      <c r="M314" s="47" t="s">
        <v>57</v>
      </c>
    </row>
    <row r="315" spans="1:13">
      <c r="A315" s="43" t="s">
        <v>268</v>
      </c>
      <c r="B315" s="43" t="s">
        <v>138</v>
      </c>
      <c r="C315" s="51">
        <v>16</v>
      </c>
      <c r="D315" s="52" t="s">
        <v>266</v>
      </c>
      <c r="E315" s="47">
        <v>6</v>
      </c>
      <c r="F315" s="48" t="s">
        <v>275</v>
      </c>
      <c r="G315" s="48">
        <v>16</v>
      </c>
      <c r="H315" s="48"/>
      <c r="I315" s="48"/>
      <c r="J315" s="48">
        <v>173</v>
      </c>
      <c r="K315" s="44"/>
      <c r="L315" s="55" t="s">
        <v>276</v>
      </c>
      <c r="M315" s="47" t="s">
        <v>57</v>
      </c>
    </row>
    <row r="316" spans="1:13">
      <c r="A316" s="43" t="s">
        <v>268</v>
      </c>
      <c r="B316" s="43" t="s">
        <v>138</v>
      </c>
      <c r="C316" s="51">
        <v>17</v>
      </c>
      <c r="D316" s="52" t="s">
        <v>283</v>
      </c>
      <c r="E316" s="47">
        <v>0</v>
      </c>
      <c r="F316" s="48" t="s">
        <v>183</v>
      </c>
      <c r="G316" s="48">
        <v>8</v>
      </c>
      <c r="H316" s="48"/>
      <c r="I316" s="48"/>
      <c r="J316" s="48">
        <v>181</v>
      </c>
      <c r="K316" s="44"/>
      <c r="L316" s="46"/>
      <c r="M316" s="47" t="s">
        <v>57</v>
      </c>
    </row>
    <row r="317" spans="1:13">
      <c r="A317" s="43" t="s">
        <v>268</v>
      </c>
      <c r="B317" s="43" t="s">
        <v>138</v>
      </c>
      <c r="C317" s="51">
        <v>18</v>
      </c>
      <c r="D317" s="52" t="s">
        <v>206</v>
      </c>
      <c r="E317" s="47">
        <v>0</v>
      </c>
      <c r="F317" s="48" t="s">
        <v>183</v>
      </c>
      <c r="G317" s="48">
        <v>8</v>
      </c>
      <c r="H317" s="48"/>
      <c r="I317" s="48"/>
      <c r="J317" s="48">
        <v>189</v>
      </c>
      <c r="K317" s="44"/>
      <c r="L317" s="46"/>
      <c r="M317" s="47" t="s">
        <v>57</v>
      </c>
    </row>
    <row r="318" spans="1:13">
      <c r="A318" s="43" t="s">
        <v>268</v>
      </c>
      <c r="B318" s="43" t="s">
        <v>138</v>
      </c>
      <c r="C318" s="51">
        <v>19</v>
      </c>
      <c r="D318" s="52" t="s">
        <v>284</v>
      </c>
      <c r="E318" s="47">
        <v>0</v>
      </c>
      <c r="F318" s="48" t="s">
        <v>183</v>
      </c>
      <c r="G318" s="48">
        <v>1</v>
      </c>
      <c r="H318" s="48"/>
      <c r="I318" s="48"/>
      <c r="J318" s="48">
        <v>190</v>
      </c>
      <c r="K318" s="44" t="s">
        <v>285</v>
      </c>
      <c r="L318" s="46"/>
      <c r="M318" s="47" t="s">
        <v>57</v>
      </c>
    </row>
    <row r="319" spans="1:13">
      <c r="A319" s="43" t="s">
        <v>286</v>
      </c>
      <c r="B319" s="43" t="s">
        <v>287</v>
      </c>
      <c r="C319" s="51">
        <v>1</v>
      </c>
      <c r="D319" s="52" t="s">
        <v>182</v>
      </c>
      <c r="E319" s="47">
        <v>0</v>
      </c>
      <c r="F319" s="48" t="s">
        <v>183</v>
      </c>
      <c r="G319" s="48">
        <v>2</v>
      </c>
      <c r="H319" s="48"/>
      <c r="I319" s="48"/>
      <c r="J319" s="48">
        <v>2</v>
      </c>
      <c r="K319" s="63" t="s">
        <v>184</v>
      </c>
      <c r="L319" s="46"/>
      <c r="M319" s="47" t="s">
        <v>57</v>
      </c>
    </row>
    <row r="320" spans="1:13">
      <c r="A320" s="43" t="s">
        <v>286</v>
      </c>
      <c r="B320" s="43" t="s">
        <v>287</v>
      </c>
      <c r="C320" s="51">
        <v>2</v>
      </c>
      <c r="D320" s="52" t="s">
        <v>185</v>
      </c>
      <c r="E320" s="47">
        <v>0</v>
      </c>
      <c r="F320" s="48" t="s">
        <v>183</v>
      </c>
      <c r="G320" s="48">
        <v>1</v>
      </c>
      <c r="H320" s="48"/>
      <c r="I320" s="48"/>
      <c r="J320" s="48">
        <v>3</v>
      </c>
      <c r="K320" s="44">
        <v>0</v>
      </c>
      <c r="L320" s="46"/>
      <c r="M320" s="47" t="s">
        <v>57</v>
      </c>
    </row>
    <row r="321" spans="1:13">
      <c r="A321" s="43" t="s">
        <v>286</v>
      </c>
      <c r="B321" s="43" t="s">
        <v>287</v>
      </c>
      <c r="C321" s="51">
        <v>3</v>
      </c>
      <c r="D321" s="52" t="s">
        <v>186</v>
      </c>
      <c r="E321" s="47">
        <v>0</v>
      </c>
      <c r="F321" s="48" t="s">
        <v>187</v>
      </c>
      <c r="G321" s="48">
        <v>5</v>
      </c>
      <c r="H321" s="48"/>
      <c r="I321" s="48"/>
      <c r="J321" s="48">
        <v>8</v>
      </c>
      <c r="K321" s="44"/>
      <c r="L321" s="46"/>
      <c r="M321" s="47" t="s">
        <v>57</v>
      </c>
    </row>
    <row r="322" spans="1:13">
      <c r="A322" s="43" t="s">
        <v>286</v>
      </c>
      <c r="B322" s="43" t="s">
        <v>287</v>
      </c>
      <c r="C322" s="51">
        <v>4</v>
      </c>
      <c r="D322" s="52" t="s">
        <v>188</v>
      </c>
      <c r="E322" s="47">
        <v>0</v>
      </c>
      <c r="F322" s="48" t="s">
        <v>183</v>
      </c>
      <c r="G322" s="48">
        <v>8</v>
      </c>
      <c r="H322" s="48"/>
      <c r="I322" s="48"/>
      <c r="J322" s="48">
        <v>16</v>
      </c>
      <c r="K322" s="44"/>
      <c r="L322" s="46"/>
      <c r="M322" s="47" t="s">
        <v>57</v>
      </c>
    </row>
    <row r="323" spans="1:13">
      <c r="A323" s="43" t="s">
        <v>286</v>
      </c>
      <c r="B323" s="43" t="s">
        <v>287</v>
      </c>
      <c r="C323" s="51">
        <v>5</v>
      </c>
      <c r="D323" s="52" t="s">
        <v>189</v>
      </c>
      <c r="E323" s="47">
        <v>0</v>
      </c>
      <c r="F323" s="48" t="s">
        <v>183</v>
      </c>
      <c r="G323" s="48">
        <v>6</v>
      </c>
      <c r="H323" s="48" t="s">
        <v>190</v>
      </c>
      <c r="I323" s="48"/>
      <c r="J323" s="48">
        <v>22</v>
      </c>
      <c r="K323" s="44" t="s">
        <v>191</v>
      </c>
      <c r="L323" s="46"/>
      <c r="M323" s="47" t="s">
        <v>57</v>
      </c>
    </row>
    <row r="324" spans="1:13">
      <c r="A324" s="43" t="s">
        <v>286</v>
      </c>
      <c r="B324" s="43" t="s">
        <v>287</v>
      </c>
      <c r="C324" s="51">
        <v>6</v>
      </c>
      <c r="D324" s="52" t="s">
        <v>199</v>
      </c>
      <c r="E324" s="47">
        <v>0</v>
      </c>
      <c r="F324" s="48" t="s">
        <v>195</v>
      </c>
      <c r="G324" s="48">
        <v>8</v>
      </c>
      <c r="H324" s="48"/>
      <c r="I324" s="48"/>
      <c r="J324" s="48">
        <v>30</v>
      </c>
      <c r="K324" s="44" t="s">
        <v>196</v>
      </c>
      <c r="L324" s="46"/>
      <c r="M324" s="47" t="s">
        <v>57</v>
      </c>
    </row>
    <row r="325" spans="1:13">
      <c r="A325" s="43" t="s">
        <v>286</v>
      </c>
      <c r="B325" s="43" t="s">
        <v>287</v>
      </c>
      <c r="C325" s="51">
        <v>7</v>
      </c>
      <c r="D325" s="52" t="s">
        <v>206</v>
      </c>
      <c r="E325" s="47">
        <v>0</v>
      </c>
      <c r="F325" s="48" t="s">
        <v>183</v>
      </c>
      <c r="G325" s="48">
        <v>6</v>
      </c>
      <c r="H325" s="48" t="s">
        <v>207</v>
      </c>
      <c r="I325" s="48">
        <v>9</v>
      </c>
      <c r="J325" s="48">
        <v>36</v>
      </c>
      <c r="K325" s="44"/>
      <c r="L325" s="46"/>
      <c r="M325" s="47" t="s">
        <v>57</v>
      </c>
    </row>
    <row r="326" spans="1:13" ht="22.5">
      <c r="A326" s="43" t="s">
        <v>288</v>
      </c>
      <c r="B326" s="43" t="s">
        <v>289</v>
      </c>
      <c r="C326" s="51">
        <v>1</v>
      </c>
      <c r="D326" s="52" t="s">
        <v>182</v>
      </c>
      <c r="E326" s="47">
        <v>0</v>
      </c>
      <c r="F326" s="48" t="s">
        <v>183</v>
      </c>
      <c r="G326" s="48">
        <v>2</v>
      </c>
      <c r="H326" s="48"/>
      <c r="I326" s="48"/>
      <c r="J326" s="48">
        <v>2</v>
      </c>
      <c r="K326" s="63" t="s">
        <v>184</v>
      </c>
      <c r="L326" s="46"/>
      <c r="M326" s="47" t="s">
        <v>57</v>
      </c>
    </row>
    <row r="327" spans="1:13" ht="22.5">
      <c r="A327" s="43" t="s">
        <v>288</v>
      </c>
      <c r="B327" s="43" t="s">
        <v>289</v>
      </c>
      <c r="C327" s="51">
        <v>2</v>
      </c>
      <c r="D327" s="52" t="s">
        <v>185</v>
      </c>
      <c r="E327" s="47">
        <v>0</v>
      </c>
      <c r="F327" s="48" t="s">
        <v>183</v>
      </c>
      <c r="G327" s="48">
        <v>1</v>
      </c>
      <c r="H327" s="48"/>
      <c r="I327" s="48"/>
      <c r="J327" s="48">
        <v>3</v>
      </c>
      <c r="K327" s="44">
        <v>0</v>
      </c>
      <c r="L327" s="46"/>
      <c r="M327" s="47" t="s">
        <v>57</v>
      </c>
    </row>
    <row r="328" spans="1:13" ht="22.5">
      <c r="A328" s="43" t="s">
        <v>288</v>
      </c>
      <c r="B328" s="43" t="s">
        <v>289</v>
      </c>
      <c r="C328" s="51">
        <v>3</v>
      </c>
      <c r="D328" s="52" t="s">
        <v>186</v>
      </c>
      <c r="E328" s="47">
        <v>0</v>
      </c>
      <c r="F328" s="48" t="s">
        <v>187</v>
      </c>
      <c r="G328" s="48">
        <v>5</v>
      </c>
      <c r="H328" s="48"/>
      <c r="I328" s="48"/>
      <c r="J328" s="48">
        <v>8</v>
      </c>
      <c r="K328" s="44"/>
      <c r="L328" s="46"/>
      <c r="M328" s="47" t="s">
        <v>57</v>
      </c>
    </row>
    <row r="329" spans="1:13" ht="22.5">
      <c r="A329" s="43" t="s">
        <v>288</v>
      </c>
      <c r="B329" s="43" t="s">
        <v>289</v>
      </c>
      <c r="C329" s="51">
        <v>4</v>
      </c>
      <c r="D329" s="52" t="s">
        <v>252</v>
      </c>
      <c r="E329" s="47">
        <v>0</v>
      </c>
      <c r="F329" s="48" t="s">
        <v>183</v>
      </c>
      <c r="G329" s="48">
        <v>8</v>
      </c>
      <c r="H329" s="48"/>
      <c r="I329" s="48"/>
      <c r="J329" s="48">
        <v>16</v>
      </c>
      <c r="K329" s="44" t="s">
        <v>252</v>
      </c>
      <c r="L329" s="46"/>
      <c r="M329" s="47" t="s">
        <v>57</v>
      </c>
    </row>
    <row r="330" spans="1:13" ht="22.5">
      <c r="A330" s="43" t="s">
        <v>288</v>
      </c>
      <c r="B330" s="43" t="s">
        <v>289</v>
      </c>
      <c r="C330" s="51">
        <v>5</v>
      </c>
      <c r="D330" s="52" t="s">
        <v>189</v>
      </c>
      <c r="E330" s="47">
        <v>0</v>
      </c>
      <c r="F330" s="48" t="s">
        <v>183</v>
      </c>
      <c r="G330" s="48">
        <v>6</v>
      </c>
      <c r="H330" s="48" t="s">
        <v>190</v>
      </c>
      <c r="I330" s="48"/>
      <c r="J330" s="48">
        <v>22</v>
      </c>
      <c r="K330" s="44" t="s">
        <v>191</v>
      </c>
      <c r="L330" s="46"/>
      <c r="M330" s="47" t="s">
        <v>57</v>
      </c>
    </row>
    <row r="331" spans="1:13" ht="22.5">
      <c r="A331" s="43" t="s">
        <v>288</v>
      </c>
      <c r="B331" s="43" t="s">
        <v>289</v>
      </c>
      <c r="C331" s="51">
        <v>6</v>
      </c>
      <c r="D331" s="52" t="s">
        <v>290</v>
      </c>
      <c r="E331" s="47">
        <v>0</v>
      </c>
      <c r="F331" s="48" t="s">
        <v>275</v>
      </c>
      <c r="G331" s="48">
        <v>16</v>
      </c>
      <c r="H331" s="48"/>
      <c r="I331" s="48"/>
      <c r="J331" s="48">
        <v>38</v>
      </c>
      <c r="K331" s="53" t="s">
        <v>291</v>
      </c>
      <c r="L331" s="46"/>
      <c r="M331" s="47" t="s">
        <v>57</v>
      </c>
    </row>
    <row r="332" spans="1:13" ht="22.5">
      <c r="A332" s="43" t="s">
        <v>288</v>
      </c>
      <c r="B332" s="43" t="s">
        <v>289</v>
      </c>
      <c r="C332" s="51">
        <v>7</v>
      </c>
      <c r="D332" s="52" t="s">
        <v>292</v>
      </c>
      <c r="E332" s="47">
        <v>0</v>
      </c>
      <c r="F332" s="48" t="s">
        <v>195</v>
      </c>
      <c r="G332" s="48">
        <v>12</v>
      </c>
      <c r="H332" s="48"/>
      <c r="I332" s="48"/>
      <c r="J332" s="48">
        <v>50</v>
      </c>
      <c r="K332" s="53" t="s">
        <v>293</v>
      </c>
      <c r="L332" s="46"/>
      <c r="M332" s="47" t="s">
        <v>57</v>
      </c>
    </row>
    <row r="333" spans="1:13" ht="22.5">
      <c r="A333" s="43" t="s">
        <v>288</v>
      </c>
      <c r="B333" s="43" t="s">
        <v>289</v>
      </c>
      <c r="C333" s="51">
        <v>8</v>
      </c>
      <c r="D333" s="52" t="s">
        <v>206</v>
      </c>
      <c r="E333" s="47">
        <v>0</v>
      </c>
      <c r="F333" s="48" t="s">
        <v>183</v>
      </c>
      <c r="G333" s="48">
        <v>145</v>
      </c>
      <c r="H333" s="48" t="s">
        <v>207</v>
      </c>
      <c r="I333" s="48">
        <v>148</v>
      </c>
      <c r="J333" s="48">
        <v>195</v>
      </c>
      <c r="K333" s="44"/>
      <c r="L333" s="46"/>
      <c r="M333" s="47" t="s">
        <v>57</v>
      </c>
    </row>
    <row r="334" spans="1:13">
      <c r="A334" s="43" t="s">
        <v>294</v>
      </c>
      <c r="B334" s="43" t="s">
        <v>295</v>
      </c>
      <c r="C334" s="51">
        <v>1</v>
      </c>
      <c r="D334" s="52" t="s">
        <v>182</v>
      </c>
      <c r="E334" s="47">
        <v>0</v>
      </c>
      <c r="F334" s="48" t="s">
        <v>183</v>
      </c>
      <c r="G334" s="48">
        <v>2</v>
      </c>
      <c r="H334" s="48"/>
      <c r="I334" s="48"/>
      <c r="J334" s="48">
        <v>2</v>
      </c>
      <c r="K334" s="63" t="s">
        <v>296</v>
      </c>
      <c r="L334" s="46"/>
      <c r="M334" s="47" t="s">
        <v>57</v>
      </c>
    </row>
    <row r="335" spans="1:13">
      <c r="A335" s="43" t="s">
        <v>294</v>
      </c>
      <c r="B335" s="43" t="s">
        <v>295</v>
      </c>
      <c r="C335" s="51">
        <v>2</v>
      </c>
      <c r="D335" s="52" t="s">
        <v>185</v>
      </c>
      <c r="E335" s="47">
        <v>0</v>
      </c>
      <c r="F335" s="48" t="s">
        <v>183</v>
      </c>
      <c r="G335" s="48">
        <v>1</v>
      </c>
      <c r="H335" s="48"/>
      <c r="I335" s="48"/>
      <c r="J335" s="48">
        <v>3</v>
      </c>
      <c r="K335" s="44">
        <v>0</v>
      </c>
      <c r="L335" s="46"/>
      <c r="M335" s="47" t="s">
        <v>57</v>
      </c>
    </row>
    <row r="336" spans="1:13">
      <c r="A336" s="43" t="s">
        <v>294</v>
      </c>
      <c r="B336" s="43" t="s">
        <v>295</v>
      </c>
      <c r="C336" s="51">
        <v>3</v>
      </c>
      <c r="D336" s="52" t="s">
        <v>186</v>
      </c>
      <c r="E336" s="47">
        <v>0</v>
      </c>
      <c r="F336" s="48" t="s">
        <v>187</v>
      </c>
      <c r="G336" s="48">
        <v>5</v>
      </c>
      <c r="H336" s="48"/>
      <c r="I336" s="48"/>
      <c r="J336" s="48">
        <v>8</v>
      </c>
      <c r="K336" s="44"/>
      <c r="L336" s="46"/>
      <c r="M336" s="47" t="s">
        <v>57</v>
      </c>
    </row>
    <row r="337" spans="1:13">
      <c r="A337" s="43" t="s">
        <v>294</v>
      </c>
      <c r="B337" s="43" t="s">
        <v>295</v>
      </c>
      <c r="C337" s="51">
        <v>4</v>
      </c>
      <c r="D337" s="52" t="s">
        <v>297</v>
      </c>
      <c r="E337" s="47">
        <v>0</v>
      </c>
      <c r="F337" s="48" t="s">
        <v>183</v>
      </c>
      <c r="G337" s="48">
        <v>8</v>
      </c>
      <c r="H337" s="48"/>
      <c r="I337" s="48"/>
      <c r="J337" s="48">
        <v>16</v>
      </c>
      <c r="K337" s="44"/>
      <c r="L337" s="46"/>
      <c r="M337" s="47" t="s">
        <v>57</v>
      </c>
    </row>
    <row r="338" spans="1:13">
      <c r="A338" s="43" t="s">
        <v>294</v>
      </c>
      <c r="B338" s="43" t="s">
        <v>295</v>
      </c>
      <c r="C338" s="51">
        <v>5</v>
      </c>
      <c r="D338" s="52" t="s">
        <v>188</v>
      </c>
      <c r="E338" s="47">
        <v>0</v>
      </c>
      <c r="F338" s="48" t="s">
        <v>183</v>
      </c>
      <c r="G338" s="48">
        <v>8</v>
      </c>
      <c r="H338" s="48"/>
      <c r="I338" s="48"/>
      <c r="J338" s="48">
        <v>24</v>
      </c>
      <c r="K338" s="44"/>
      <c r="L338" s="46"/>
      <c r="M338" s="47" t="s">
        <v>57</v>
      </c>
    </row>
    <row r="339" spans="1:13">
      <c r="A339" s="43" t="s">
        <v>294</v>
      </c>
      <c r="B339" s="43" t="s">
        <v>295</v>
      </c>
      <c r="C339" s="51">
        <v>6</v>
      </c>
      <c r="D339" s="52" t="s">
        <v>189</v>
      </c>
      <c r="E339" s="47">
        <v>0</v>
      </c>
      <c r="F339" s="48" t="s">
        <v>183</v>
      </c>
      <c r="G339" s="48">
        <v>6</v>
      </c>
      <c r="H339" s="48" t="s">
        <v>190</v>
      </c>
      <c r="I339" s="48"/>
      <c r="J339" s="48">
        <v>30</v>
      </c>
      <c r="K339" s="44" t="s">
        <v>191</v>
      </c>
      <c r="L339" s="46"/>
      <c r="M339" s="47" t="s">
        <v>57</v>
      </c>
    </row>
    <row r="340" spans="1:13">
      <c r="A340" s="43" t="s">
        <v>294</v>
      </c>
      <c r="B340" s="43" t="s">
        <v>295</v>
      </c>
      <c r="C340" s="51">
        <v>7</v>
      </c>
      <c r="D340" s="52" t="s">
        <v>298</v>
      </c>
      <c r="E340" s="47">
        <v>0</v>
      </c>
      <c r="F340" s="48" t="s">
        <v>195</v>
      </c>
      <c r="G340" s="48">
        <v>8</v>
      </c>
      <c r="H340" s="48"/>
      <c r="I340" s="48"/>
      <c r="J340" s="48">
        <v>38</v>
      </c>
      <c r="K340" s="44" t="s">
        <v>196</v>
      </c>
      <c r="L340" s="46"/>
      <c r="M340" s="47" t="s">
        <v>57</v>
      </c>
    </row>
    <row r="341" spans="1:13">
      <c r="A341" s="43" t="s">
        <v>294</v>
      </c>
      <c r="B341" s="43" t="s">
        <v>295</v>
      </c>
      <c r="C341" s="51">
        <v>8</v>
      </c>
      <c r="D341" s="52" t="s">
        <v>299</v>
      </c>
      <c r="E341" s="47">
        <v>0</v>
      </c>
      <c r="F341" s="48" t="s">
        <v>183</v>
      </c>
      <c r="G341" s="48">
        <v>1</v>
      </c>
      <c r="H341" s="48"/>
      <c r="I341" s="48"/>
      <c r="J341" s="48">
        <v>39</v>
      </c>
      <c r="K341" s="44"/>
      <c r="L341" s="46"/>
      <c r="M341" s="47" t="s">
        <v>57</v>
      </c>
    </row>
    <row r="342" spans="1:13">
      <c r="A342" s="43" t="s">
        <v>300</v>
      </c>
      <c r="B342" s="43" t="s">
        <v>301</v>
      </c>
      <c r="C342" s="51">
        <v>1</v>
      </c>
      <c r="D342" s="52" t="s">
        <v>182</v>
      </c>
      <c r="E342" s="47">
        <v>0</v>
      </c>
      <c r="F342" s="48" t="s">
        <v>183</v>
      </c>
      <c r="G342" s="48">
        <v>2</v>
      </c>
      <c r="H342" s="48"/>
      <c r="I342" s="48"/>
      <c r="J342" s="48">
        <v>2</v>
      </c>
      <c r="K342" s="63" t="s">
        <v>302</v>
      </c>
      <c r="L342" s="46"/>
      <c r="M342" s="47" t="s">
        <v>57</v>
      </c>
    </row>
    <row r="343" spans="1:13">
      <c r="A343" s="43" t="s">
        <v>300</v>
      </c>
      <c r="B343" s="43" t="s">
        <v>301</v>
      </c>
      <c r="C343" s="51">
        <v>2</v>
      </c>
      <c r="D343" s="52" t="s">
        <v>185</v>
      </c>
      <c r="E343" s="47">
        <v>0</v>
      </c>
      <c r="F343" s="48" t="s">
        <v>183</v>
      </c>
      <c r="G343" s="48">
        <v>1</v>
      </c>
      <c r="H343" s="48"/>
      <c r="I343" s="48"/>
      <c r="J343" s="48">
        <v>3</v>
      </c>
      <c r="K343" s="44">
        <v>0</v>
      </c>
      <c r="L343" s="46"/>
      <c r="M343" s="47" t="s">
        <v>57</v>
      </c>
    </row>
    <row r="344" spans="1:13">
      <c r="A344" s="43" t="s">
        <v>300</v>
      </c>
      <c r="B344" s="43" t="s">
        <v>301</v>
      </c>
      <c r="C344" s="51">
        <v>3</v>
      </c>
      <c r="D344" s="52" t="s">
        <v>186</v>
      </c>
      <c r="E344" s="47">
        <v>0</v>
      </c>
      <c r="F344" s="48" t="s">
        <v>187</v>
      </c>
      <c r="G344" s="48">
        <v>5</v>
      </c>
      <c r="H344" s="48"/>
      <c r="I344" s="48"/>
      <c r="J344" s="48">
        <v>8</v>
      </c>
      <c r="K344" s="44"/>
      <c r="L344" s="46"/>
      <c r="M344" s="47" t="s">
        <v>57</v>
      </c>
    </row>
    <row r="345" spans="1:13">
      <c r="A345" s="43" t="s">
        <v>300</v>
      </c>
      <c r="B345" s="43" t="s">
        <v>301</v>
      </c>
      <c r="C345" s="51">
        <v>4</v>
      </c>
      <c r="D345" s="52" t="s">
        <v>297</v>
      </c>
      <c r="E345" s="47">
        <v>0</v>
      </c>
      <c r="F345" s="48" t="s">
        <v>183</v>
      </c>
      <c r="G345" s="48">
        <v>8</v>
      </c>
      <c r="H345" s="48"/>
      <c r="I345" s="48"/>
      <c r="J345" s="48">
        <v>16</v>
      </c>
      <c r="K345" s="44"/>
      <c r="L345" s="46"/>
      <c r="M345" s="47" t="s">
        <v>57</v>
      </c>
    </row>
    <row r="346" spans="1:13">
      <c r="A346" s="43" t="s">
        <v>300</v>
      </c>
      <c r="B346" s="43" t="s">
        <v>301</v>
      </c>
      <c r="C346" s="51">
        <v>5</v>
      </c>
      <c r="D346" s="52" t="s">
        <v>188</v>
      </c>
      <c r="E346" s="47">
        <v>0</v>
      </c>
      <c r="F346" s="48" t="s">
        <v>183</v>
      </c>
      <c r="G346" s="48">
        <v>8</v>
      </c>
      <c r="H346" s="48"/>
      <c r="I346" s="48"/>
      <c r="J346" s="48">
        <v>24</v>
      </c>
      <c r="K346" s="44"/>
      <c r="L346" s="46"/>
      <c r="M346" s="47" t="s">
        <v>57</v>
      </c>
    </row>
    <row r="347" spans="1:13">
      <c r="A347" s="43" t="s">
        <v>300</v>
      </c>
      <c r="B347" s="43" t="s">
        <v>301</v>
      </c>
      <c r="C347" s="51">
        <v>6</v>
      </c>
      <c r="D347" s="52" t="s">
        <v>189</v>
      </c>
      <c r="E347" s="47">
        <v>0</v>
      </c>
      <c r="F347" s="48" t="s">
        <v>183</v>
      </c>
      <c r="G347" s="48">
        <v>6</v>
      </c>
      <c r="H347" s="48" t="s">
        <v>190</v>
      </c>
      <c r="I347" s="48"/>
      <c r="J347" s="48">
        <v>30</v>
      </c>
      <c r="K347" s="44" t="s">
        <v>191</v>
      </c>
      <c r="L347" s="46"/>
      <c r="M347" s="47" t="s">
        <v>57</v>
      </c>
    </row>
    <row r="348" spans="1:13">
      <c r="A348" s="43" t="s">
        <v>300</v>
      </c>
      <c r="B348" s="43" t="s">
        <v>301</v>
      </c>
      <c r="C348" s="51">
        <v>7</v>
      </c>
      <c r="D348" s="52" t="s">
        <v>298</v>
      </c>
      <c r="E348" s="47">
        <v>0</v>
      </c>
      <c r="F348" s="48" t="s">
        <v>195</v>
      </c>
      <c r="G348" s="48">
        <v>8</v>
      </c>
      <c r="H348" s="48"/>
      <c r="I348" s="48"/>
      <c r="J348" s="48">
        <v>38</v>
      </c>
      <c r="K348" s="44" t="s">
        <v>196</v>
      </c>
      <c r="L348" s="46"/>
      <c r="M348" s="47" t="s">
        <v>57</v>
      </c>
    </row>
    <row r="349" spans="1:13">
      <c r="A349" s="43" t="s">
        <v>300</v>
      </c>
      <c r="B349" s="43" t="s">
        <v>301</v>
      </c>
      <c r="C349" s="51">
        <v>8</v>
      </c>
      <c r="D349" s="52" t="s">
        <v>299</v>
      </c>
      <c r="E349" s="47">
        <v>0</v>
      </c>
      <c r="F349" s="48" t="s">
        <v>183</v>
      </c>
      <c r="G349" s="48">
        <v>1</v>
      </c>
      <c r="H349" s="48"/>
      <c r="I349" s="48"/>
      <c r="J349" s="48">
        <v>39</v>
      </c>
      <c r="K349" s="44"/>
      <c r="L349" s="46"/>
      <c r="M349" s="47" t="s">
        <v>57</v>
      </c>
    </row>
    <row r="350" spans="1:13">
      <c r="A350" s="43" t="s">
        <v>303</v>
      </c>
      <c r="B350" s="43" t="s">
        <v>304</v>
      </c>
      <c r="C350" s="51">
        <v>1</v>
      </c>
      <c r="D350" s="52" t="s">
        <v>186</v>
      </c>
      <c r="E350" s="47">
        <v>0</v>
      </c>
      <c r="F350" s="48" t="s">
        <v>187</v>
      </c>
      <c r="G350" s="48">
        <v>4</v>
      </c>
      <c r="H350" s="48"/>
      <c r="I350" s="48"/>
      <c r="J350" s="48">
        <v>4</v>
      </c>
      <c r="K350" s="44"/>
      <c r="L350" s="46"/>
      <c r="M350" s="47" t="s">
        <v>57</v>
      </c>
    </row>
    <row r="351" spans="1:13">
      <c r="A351" s="43" t="s">
        <v>303</v>
      </c>
      <c r="B351" s="43" t="s">
        <v>304</v>
      </c>
      <c r="C351" s="51">
        <v>2</v>
      </c>
      <c r="D351" s="52" t="s">
        <v>251</v>
      </c>
      <c r="E351" s="47">
        <v>0</v>
      </c>
      <c r="F351" s="48" t="s">
        <v>183</v>
      </c>
      <c r="G351" s="48">
        <v>6</v>
      </c>
      <c r="H351" s="23" t="s">
        <v>190</v>
      </c>
      <c r="I351" s="48"/>
      <c r="J351" s="23">
        <v>10</v>
      </c>
      <c r="K351" s="44" t="s">
        <v>251</v>
      </c>
      <c r="L351" s="46"/>
      <c r="M351" s="47" t="s">
        <v>57</v>
      </c>
    </row>
    <row r="352" spans="1:13">
      <c r="A352" s="43" t="s">
        <v>303</v>
      </c>
      <c r="B352" s="43" t="s">
        <v>304</v>
      </c>
      <c r="C352" s="51">
        <v>3</v>
      </c>
      <c r="D352" s="52" t="s">
        <v>252</v>
      </c>
      <c r="E352" s="47">
        <v>0</v>
      </c>
      <c r="F352" s="48" t="s">
        <v>183</v>
      </c>
      <c r="G352" s="48">
        <v>8</v>
      </c>
      <c r="H352" s="48"/>
      <c r="I352" s="48"/>
      <c r="J352" s="48">
        <v>18</v>
      </c>
      <c r="K352" s="44" t="s">
        <v>252</v>
      </c>
      <c r="L352" s="46"/>
      <c r="M352" s="47" t="s">
        <v>57</v>
      </c>
    </row>
    <row r="353" spans="1:13">
      <c r="A353" s="43" t="s">
        <v>303</v>
      </c>
      <c r="B353" s="43" t="s">
        <v>304</v>
      </c>
      <c r="C353" s="51">
        <v>4</v>
      </c>
      <c r="D353" s="52" t="s">
        <v>253</v>
      </c>
      <c r="E353" s="47">
        <v>0</v>
      </c>
      <c r="F353" s="48" t="s">
        <v>183</v>
      </c>
      <c r="G353" s="48">
        <v>6</v>
      </c>
      <c r="H353" s="48"/>
      <c r="I353" s="48"/>
      <c r="J353" s="48">
        <v>24</v>
      </c>
      <c r="K353" s="44" t="s">
        <v>254</v>
      </c>
      <c r="L353" s="46"/>
      <c r="M353" s="47" t="s">
        <v>57</v>
      </c>
    </row>
    <row r="354" spans="1:13">
      <c r="A354" s="43" t="s">
        <v>303</v>
      </c>
      <c r="B354" s="43" t="s">
        <v>304</v>
      </c>
      <c r="C354" s="51">
        <v>5</v>
      </c>
      <c r="D354" s="52" t="s">
        <v>255</v>
      </c>
      <c r="E354" s="47">
        <v>0</v>
      </c>
      <c r="F354" s="48" t="s">
        <v>195</v>
      </c>
      <c r="G354" s="48">
        <v>10</v>
      </c>
      <c r="H354" s="48"/>
      <c r="I354" s="48"/>
      <c r="J354" s="48">
        <v>34</v>
      </c>
      <c r="K354" s="44" t="s">
        <v>256</v>
      </c>
      <c r="L354" s="46"/>
      <c r="M354" s="47" t="s">
        <v>57</v>
      </c>
    </row>
    <row r="355" spans="1:13">
      <c r="A355" s="43" t="s">
        <v>303</v>
      </c>
      <c r="B355" s="43" t="s">
        <v>304</v>
      </c>
      <c r="C355" s="51">
        <v>6</v>
      </c>
      <c r="D355" s="52" t="s">
        <v>257</v>
      </c>
      <c r="E355" s="47">
        <v>0</v>
      </c>
      <c r="F355" s="48" t="s">
        <v>195</v>
      </c>
      <c r="G355" s="48">
        <v>10</v>
      </c>
      <c r="H355" s="48"/>
      <c r="I355" s="48"/>
      <c r="J355" s="48">
        <v>44</v>
      </c>
      <c r="K355" s="44" t="s">
        <v>256</v>
      </c>
      <c r="L355" s="46"/>
      <c r="M355" s="47" t="s">
        <v>57</v>
      </c>
    </row>
    <row r="356" spans="1:13">
      <c r="A356" s="43" t="s">
        <v>303</v>
      </c>
      <c r="B356" s="43" t="s">
        <v>304</v>
      </c>
      <c r="C356" s="51">
        <v>7</v>
      </c>
      <c r="D356" s="52" t="s">
        <v>258</v>
      </c>
      <c r="E356" s="47">
        <v>0</v>
      </c>
      <c r="F356" s="48" t="s">
        <v>195</v>
      </c>
      <c r="G356" s="48">
        <v>10</v>
      </c>
      <c r="H356" s="48"/>
      <c r="I356" s="48"/>
      <c r="J356" s="48">
        <v>54</v>
      </c>
      <c r="K356" s="44" t="s">
        <v>256</v>
      </c>
      <c r="L356" s="46"/>
      <c r="M356" s="47" t="s">
        <v>57</v>
      </c>
    </row>
    <row r="357" spans="1:13">
      <c r="A357" s="43" t="s">
        <v>303</v>
      </c>
      <c r="B357" s="43" t="s">
        <v>304</v>
      </c>
      <c r="C357" s="51">
        <v>8</v>
      </c>
      <c r="D357" s="52" t="s">
        <v>259</v>
      </c>
      <c r="E357" s="47">
        <v>0</v>
      </c>
      <c r="F357" s="48" t="s">
        <v>195</v>
      </c>
      <c r="G357" s="48">
        <v>10</v>
      </c>
      <c r="H357" s="48"/>
      <c r="I357" s="48"/>
      <c r="J357" s="48">
        <v>64</v>
      </c>
      <c r="K357" s="44" t="s">
        <v>256</v>
      </c>
      <c r="L357" s="46"/>
      <c r="M357" s="47" t="s">
        <v>57</v>
      </c>
    </row>
    <row r="358" spans="1:13">
      <c r="A358" s="43" t="s">
        <v>303</v>
      </c>
      <c r="B358" s="43" t="s">
        <v>304</v>
      </c>
      <c r="C358" s="51">
        <v>9</v>
      </c>
      <c r="D358" s="52" t="s">
        <v>260</v>
      </c>
      <c r="E358" s="47">
        <v>0</v>
      </c>
      <c r="F358" s="48" t="s">
        <v>195</v>
      </c>
      <c r="G358" s="48">
        <v>10</v>
      </c>
      <c r="H358" s="48"/>
      <c r="I358" s="48"/>
      <c r="J358" s="48">
        <v>74</v>
      </c>
      <c r="K358" s="44" t="s">
        <v>256</v>
      </c>
      <c r="L358" s="46"/>
      <c r="M358" s="47" t="s">
        <v>57</v>
      </c>
    </row>
    <row r="359" spans="1:13">
      <c r="A359" s="43" t="s">
        <v>303</v>
      </c>
      <c r="B359" s="43" t="s">
        <v>304</v>
      </c>
      <c r="C359" s="51">
        <v>10</v>
      </c>
      <c r="D359" s="52" t="s">
        <v>261</v>
      </c>
      <c r="E359" s="47">
        <v>0</v>
      </c>
      <c r="F359" s="48" t="s">
        <v>195</v>
      </c>
      <c r="G359" s="48">
        <v>9</v>
      </c>
      <c r="H359" s="48"/>
      <c r="I359" s="48"/>
      <c r="J359" s="48">
        <v>83</v>
      </c>
      <c r="K359" s="44" t="s">
        <v>262</v>
      </c>
      <c r="L359" s="46"/>
      <c r="M359" s="47" t="s">
        <v>57</v>
      </c>
    </row>
    <row r="360" spans="1:13">
      <c r="A360" s="43" t="s">
        <v>303</v>
      </c>
      <c r="B360" s="43" t="s">
        <v>304</v>
      </c>
      <c r="C360" s="51">
        <v>11</v>
      </c>
      <c r="D360" s="52" t="s">
        <v>263</v>
      </c>
      <c r="E360" s="47">
        <v>0</v>
      </c>
      <c r="F360" s="48" t="s">
        <v>195</v>
      </c>
      <c r="G360" s="48">
        <v>6</v>
      </c>
      <c r="H360" s="48"/>
      <c r="I360" s="48"/>
      <c r="J360" s="48">
        <v>89</v>
      </c>
      <c r="K360" s="44" t="s">
        <v>264</v>
      </c>
      <c r="L360" s="46"/>
      <c r="M360" s="47" t="s">
        <v>57</v>
      </c>
    </row>
    <row r="361" spans="1:13">
      <c r="A361" s="43" t="s">
        <v>303</v>
      </c>
      <c r="B361" s="43" t="s">
        <v>304</v>
      </c>
      <c r="C361" s="51">
        <v>12</v>
      </c>
      <c r="D361" s="52" t="s">
        <v>265</v>
      </c>
      <c r="E361" s="47">
        <v>0</v>
      </c>
      <c r="F361" s="48" t="s">
        <v>195</v>
      </c>
      <c r="G361" s="48">
        <v>6</v>
      </c>
      <c r="H361" s="48"/>
      <c r="I361" s="48"/>
      <c r="J361" s="48">
        <v>95</v>
      </c>
      <c r="K361" s="44" t="s">
        <v>264</v>
      </c>
      <c r="L361" s="46"/>
      <c r="M361" s="47" t="s">
        <v>57</v>
      </c>
    </row>
    <row r="362" spans="1:13">
      <c r="A362" s="43" t="s">
        <v>303</v>
      </c>
      <c r="B362" s="43" t="s">
        <v>304</v>
      </c>
      <c r="C362" s="51">
        <v>13</v>
      </c>
      <c r="D362" s="52" t="s">
        <v>266</v>
      </c>
      <c r="E362" s="47">
        <v>0</v>
      </c>
      <c r="F362" s="48" t="s">
        <v>195</v>
      </c>
      <c r="G362" s="48">
        <v>6</v>
      </c>
      <c r="H362" s="48"/>
      <c r="I362" s="48"/>
      <c r="J362" s="48">
        <v>101</v>
      </c>
      <c r="K362" s="44" t="s">
        <v>264</v>
      </c>
      <c r="L362" s="46"/>
      <c r="M362" s="47" t="s">
        <v>57</v>
      </c>
    </row>
    <row r="363" spans="1:13">
      <c r="A363" s="43" t="s">
        <v>303</v>
      </c>
      <c r="B363" s="43" t="s">
        <v>304</v>
      </c>
      <c r="C363" s="51">
        <v>14</v>
      </c>
      <c r="D363" s="52" t="s">
        <v>267</v>
      </c>
      <c r="E363" s="47">
        <v>0</v>
      </c>
      <c r="F363" s="48" t="s">
        <v>195</v>
      </c>
      <c r="G363" s="48">
        <v>6</v>
      </c>
      <c r="H363" s="48"/>
      <c r="I363" s="48"/>
      <c r="J363" s="48">
        <v>107</v>
      </c>
      <c r="K363" s="44" t="s">
        <v>264</v>
      </c>
      <c r="L363" s="46"/>
      <c r="M363" s="47" t="s">
        <v>57</v>
      </c>
    </row>
    <row r="364" spans="1:13">
      <c r="A364" s="43" t="s">
        <v>303</v>
      </c>
      <c r="B364" s="43" t="s">
        <v>304</v>
      </c>
      <c r="C364" s="51">
        <v>15</v>
      </c>
      <c r="D364" s="52" t="s">
        <v>206</v>
      </c>
      <c r="E364" s="47">
        <v>0</v>
      </c>
      <c r="F364" s="48" t="s">
        <v>183</v>
      </c>
      <c r="G364" s="48">
        <v>8</v>
      </c>
      <c r="H364" s="48"/>
      <c r="I364" s="48"/>
      <c r="J364" s="48">
        <v>115</v>
      </c>
      <c r="K364" s="44" t="s">
        <v>305</v>
      </c>
      <c r="L364" s="46"/>
      <c r="M364" s="47" t="s">
        <v>57</v>
      </c>
    </row>
    <row r="365" spans="1:13">
      <c r="A365" s="43" t="s">
        <v>163</v>
      </c>
      <c r="B365" s="43" t="s">
        <v>306</v>
      </c>
      <c r="C365" s="51">
        <v>1</v>
      </c>
      <c r="D365" s="52" t="s">
        <v>182</v>
      </c>
      <c r="E365" s="47">
        <v>0</v>
      </c>
      <c r="F365" s="48" t="s">
        <v>183</v>
      </c>
      <c r="G365" s="48">
        <v>2</v>
      </c>
      <c r="H365" s="48"/>
      <c r="I365" s="48"/>
      <c r="J365" s="48">
        <v>2</v>
      </c>
      <c r="K365" s="63" t="s">
        <v>184</v>
      </c>
      <c r="L365" s="44"/>
      <c r="M365" s="54" t="s">
        <v>57</v>
      </c>
    </row>
    <row r="366" spans="1:13">
      <c r="A366" s="43" t="s">
        <v>163</v>
      </c>
      <c r="B366" s="43" t="s">
        <v>306</v>
      </c>
      <c r="C366" s="51">
        <v>2</v>
      </c>
      <c r="D366" s="52" t="s">
        <v>185</v>
      </c>
      <c r="E366" s="47">
        <v>0</v>
      </c>
      <c r="F366" s="48" t="s">
        <v>183</v>
      </c>
      <c r="G366" s="48">
        <v>1</v>
      </c>
      <c r="H366" s="48"/>
      <c r="I366" s="48"/>
      <c r="J366" s="48">
        <v>3</v>
      </c>
      <c r="K366" s="44">
        <v>0</v>
      </c>
      <c r="L366" s="44"/>
      <c r="M366" s="54" t="s">
        <v>57</v>
      </c>
    </row>
    <row r="367" spans="1:13">
      <c r="A367" s="43" t="s">
        <v>163</v>
      </c>
      <c r="B367" s="43" t="s">
        <v>306</v>
      </c>
      <c r="C367" s="51">
        <v>3</v>
      </c>
      <c r="D367" s="52" t="s">
        <v>186</v>
      </c>
      <c r="E367" s="47">
        <v>0</v>
      </c>
      <c r="F367" s="48" t="s">
        <v>187</v>
      </c>
      <c r="G367" s="48">
        <v>5</v>
      </c>
      <c r="H367" s="48"/>
      <c r="I367" s="48"/>
      <c r="J367" s="48">
        <v>8</v>
      </c>
      <c r="K367" s="44"/>
      <c r="L367" s="44"/>
      <c r="M367" s="54" t="s">
        <v>57</v>
      </c>
    </row>
    <row r="368" spans="1:13">
      <c r="A368" s="43" t="s">
        <v>163</v>
      </c>
      <c r="B368" s="43" t="s">
        <v>306</v>
      </c>
      <c r="C368" s="51">
        <v>4</v>
      </c>
      <c r="D368" s="52" t="s">
        <v>188</v>
      </c>
      <c r="E368" s="47">
        <v>0</v>
      </c>
      <c r="F368" s="48" t="s">
        <v>183</v>
      </c>
      <c r="G368" s="48">
        <v>8</v>
      </c>
      <c r="H368" s="48"/>
      <c r="I368" s="48"/>
      <c r="J368" s="48">
        <v>16</v>
      </c>
      <c r="K368" s="44" t="s">
        <v>188</v>
      </c>
      <c r="L368" s="44"/>
      <c r="M368" s="54" t="s">
        <v>57</v>
      </c>
    </row>
    <row r="369" spans="1:13">
      <c r="A369" s="43" t="s">
        <v>163</v>
      </c>
      <c r="B369" s="43" t="s">
        <v>306</v>
      </c>
      <c r="C369" s="51">
        <v>5</v>
      </c>
      <c r="D369" s="52" t="s">
        <v>189</v>
      </c>
      <c r="E369" s="47">
        <v>0</v>
      </c>
      <c r="F369" s="48" t="s">
        <v>183</v>
      </c>
      <c r="G369" s="48">
        <v>6</v>
      </c>
      <c r="H369" s="48"/>
      <c r="I369" s="44"/>
      <c r="J369" s="48">
        <v>22</v>
      </c>
      <c r="K369" s="44" t="s">
        <v>191</v>
      </c>
      <c r="L369" s="44"/>
      <c r="M369" s="54" t="s">
        <v>57</v>
      </c>
    </row>
    <row r="370" spans="1:13">
      <c r="A370" s="43" t="s">
        <v>163</v>
      </c>
      <c r="B370" s="43" t="s">
        <v>306</v>
      </c>
      <c r="C370" s="51">
        <v>6</v>
      </c>
      <c r="D370" s="52" t="s">
        <v>192</v>
      </c>
      <c r="E370" s="47">
        <v>0</v>
      </c>
      <c r="F370" s="48" t="s">
        <v>187</v>
      </c>
      <c r="G370" s="48">
        <v>6</v>
      </c>
      <c r="H370" s="48"/>
      <c r="I370" s="48"/>
      <c r="J370" s="48">
        <v>28</v>
      </c>
      <c r="K370" s="44"/>
      <c r="L370" s="44"/>
      <c r="M370" s="54" t="s">
        <v>57</v>
      </c>
    </row>
    <row r="371" spans="1:13">
      <c r="A371" s="43" t="s">
        <v>163</v>
      </c>
      <c r="B371" s="43" t="s">
        <v>306</v>
      </c>
      <c r="C371" s="51">
        <v>7</v>
      </c>
      <c r="D371" s="52" t="s">
        <v>193</v>
      </c>
      <c r="E371" s="47">
        <v>0</v>
      </c>
      <c r="F371" s="48" t="s">
        <v>187</v>
      </c>
      <c r="G371" s="48">
        <v>6</v>
      </c>
      <c r="H371" s="48"/>
      <c r="I371" s="48"/>
      <c r="J371" s="48">
        <v>34</v>
      </c>
      <c r="K371" s="44"/>
      <c r="L371" s="44"/>
      <c r="M371" s="54" t="s">
        <v>57</v>
      </c>
    </row>
    <row r="372" spans="1:13">
      <c r="A372" s="43" t="s">
        <v>163</v>
      </c>
      <c r="B372" s="43" t="s">
        <v>306</v>
      </c>
      <c r="C372" s="51">
        <v>8</v>
      </c>
      <c r="D372" s="52" t="s">
        <v>210</v>
      </c>
      <c r="E372" s="47">
        <v>0</v>
      </c>
      <c r="F372" s="48" t="s">
        <v>195</v>
      </c>
      <c r="G372" s="48">
        <v>8</v>
      </c>
      <c r="H372" s="48"/>
      <c r="I372" s="48"/>
      <c r="J372" s="48">
        <v>42</v>
      </c>
      <c r="K372" s="44" t="s">
        <v>196</v>
      </c>
      <c r="L372" s="44"/>
      <c r="M372" s="54" t="s">
        <v>57</v>
      </c>
    </row>
    <row r="373" spans="1:13">
      <c r="A373" s="43" t="s">
        <v>163</v>
      </c>
      <c r="B373" s="43" t="s">
        <v>306</v>
      </c>
      <c r="C373" s="51">
        <v>9</v>
      </c>
      <c r="D373" s="52" t="s">
        <v>197</v>
      </c>
      <c r="E373" s="47">
        <v>0</v>
      </c>
      <c r="F373" s="48" t="s">
        <v>195</v>
      </c>
      <c r="G373" s="48">
        <v>8</v>
      </c>
      <c r="H373" s="48"/>
      <c r="I373" s="48"/>
      <c r="J373" s="48">
        <v>50</v>
      </c>
      <c r="K373" s="44" t="s">
        <v>196</v>
      </c>
      <c r="L373" s="44"/>
      <c r="M373" s="54" t="s">
        <v>57</v>
      </c>
    </row>
    <row r="374" spans="1:13">
      <c r="A374" s="43" t="s">
        <v>163</v>
      </c>
      <c r="B374" s="43" t="s">
        <v>306</v>
      </c>
      <c r="C374" s="51">
        <v>10</v>
      </c>
      <c r="D374" s="52" t="s">
        <v>198</v>
      </c>
      <c r="E374" s="47">
        <v>0</v>
      </c>
      <c r="F374" s="48" t="s">
        <v>195</v>
      </c>
      <c r="G374" s="48">
        <v>8</v>
      </c>
      <c r="H374" s="48"/>
      <c r="I374" s="48"/>
      <c r="J374" s="48">
        <v>58</v>
      </c>
      <c r="K374" s="44" t="s">
        <v>196</v>
      </c>
      <c r="L374" s="44"/>
      <c r="M374" s="54" t="s">
        <v>57</v>
      </c>
    </row>
    <row r="375" spans="1:13">
      <c r="A375" s="43" t="s">
        <v>163</v>
      </c>
      <c r="B375" s="43" t="s">
        <v>306</v>
      </c>
      <c r="C375" s="51">
        <v>11</v>
      </c>
      <c r="D375" s="52" t="s">
        <v>199</v>
      </c>
      <c r="E375" s="47">
        <v>0</v>
      </c>
      <c r="F375" s="48" t="s">
        <v>195</v>
      </c>
      <c r="G375" s="48">
        <v>8</v>
      </c>
      <c r="H375" s="48"/>
      <c r="I375" s="48"/>
      <c r="J375" s="48">
        <v>66</v>
      </c>
      <c r="K375" s="44" t="s">
        <v>196</v>
      </c>
      <c r="L375" s="44"/>
      <c r="M375" s="54" t="s">
        <v>57</v>
      </c>
    </row>
    <row r="376" spans="1:13">
      <c r="A376" s="43" t="s">
        <v>163</v>
      </c>
      <c r="B376" s="43" t="s">
        <v>306</v>
      </c>
      <c r="C376" s="51">
        <v>12</v>
      </c>
      <c r="D376" s="52" t="s">
        <v>200</v>
      </c>
      <c r="E376" s="47">
        <v>0</v>
      </c>
      <c r="F376" s="48" t="s">
        <v>195</v>
      </c>
      <c r="G376" s="48">
        <v>8</v>
      </c>
      <c r="H376" s="48"/>
      <c r="I376" s="48"/>
      <c r="J376" s="48">
        <v>74</v>
      </c>
      <c r="K376" s="44" t="s">
        <v>196</v>
      </c>
      <c r="L376" s="44"/>
      <c r="M376" s="54" t="s">
        <v>57</v>
      </c>
    </row>
    <row r="377" spans="1:13">
      <c r="A377" s="43" t="s">
        <v>163</v>
      </c>
      <c r="B377" s="43" t="s">
        <v>306</v>
      </c>
      <c r="C377" s="51">
        <v>13</v>
      </c>
      <c r="D377" s="52" t="s">
        <v>201</v>
      </c>
      <c r="E377" s="47">
        <v>0</v>
      </c>
      <c r="F377" s="48" t="s">
        <v>187</v>
      </c>
      <c r="G377" s="48">
        <v>8</v>
      </c>
      <c r="H377" s="48"/>
      <c r="I377" s="48"/>
      <c r="J377" s="48">
        <v>82</v>
      </c>
      <c r="K377" s="44"/>
      <c r="L377" s="44"/>
      <c r="M377" s="54" t="s">
        <v>57</v>
      </c>
    </row>
    <row r="378" spans="1:13">
      <c r="A378" s="43" t="s">
        <v>163</v>
      </c>
      <c r="B378" s="43" t="s">
        <v>306</v>
      </c>
      <c r="C378" s="51">
        <v>14</v>
      </c>
      <c r="D378" s="52" t="s">
        <v>202</v>
      </c>
      <c r="E378" s="47">
        <v>0</v>
      </c>
      <c r="F378" s="48" t="s">
        <v>203</v>
      </c>
      <c r="G378" s="48">
        <v>12</v>
      </c>
      <c r="H378" s="48"/>
      <c r="I378" s="48"/>
      <c r="J378" s="48">
        <v>94</v>
      </c>
      <c r="K378" s="44" t="s">
        <v>307</v>
      </c>
      <c r="L378" s="44"/>
      <c r="M378" s="54" t="s">
        <v>57</v>
      </c>
    </row>
    <row r="379" spans="1:13">
      <c r="A379" s="43" t="s">
        <v>163</v>
      </c>
      <c r="B379" s="43" t="s">
        <v>306</v>
      </c>
      <c r="C379" s="51">
        <v>15</v>
      </c>
      <c r="D379" s="52" t="s">
        <v>204</v>
      </c>
      <c r="E379" s="47">
        <v>0</v>
      </c>
      <c r="F379" s="48" t="s">
        <v>187</v>
      </c>
      <c r="G379" s="48">
        <v>9</v>
      </c>
      <c r="H379" s="48"/>
      <c r="I379" s="48"/>
      <c r="J379" s="48">
        <v>103</v>
      </c>
      <c r="K379" s="44"/>
      <c r="L379" s="44"/>
      <c r="M379" s="54" t="s">
        <v>57</v>
      </c>
    </row>
    <row r="380" spans="1:13">
      <c r="A380" s="43" t="s">
        <v>163</v>
      </c>
      <c r="B380" s="43" t="s">
        <v>306</v>
      </c>
      <c r="C380" s="51">
        <v>16</v>
      </c>
      <c r="D380" s="52" t="s">
        <v>205</v>
      </c>
      <c r="E380" s="47">
        <v>0</v>
      </c>
      <c r="F380" s="48" t="s">
        <v>203</v>
      </c>
      <c r="G380" s="48">
        <v>11</v>
      </c>
      <c r="H380" s="48"/>
      <c r="I380" s="48"/>
      <c r="J380" s="48">
        <v>114</v>
      </c>
      <c r="K380" s="44"/>
      <c r="L380" s="44"/>
      <c r="M380" s="54" t="s">
        <v>57</v>
      </c>
    </row>
    <row r="381" spans="1:13">
      <c r="A381" s="43" t="s">
        <v>163</v>
      </c>
      <c r="B381" s="43" t="s">
        <v>306</v>
      </c>
      <c r="C381" s="51">
        <v>17</v>
      </c>
      <c r="D381" s="52" t="s">
        <v>206</v>
      </c>
      <c r="E381" s="47">
        <v>0</v>
      </c>
      <c r="F381" s="48" t="s">
        <v>183</v>
      </c>
      <c r="G381" s="48">
        <v>6</v>
      </c>
      <c r="H381" s="48"/>
      <c r="I381" s="48"/>
      <c r="J381" s="48">
        <v>120</v>
      </c>
      <c r="K381" s="44" t="s">
        <v>308</v>
      </c>
      <c r="L381" s="44"/>
      <c r="M381" s="54" t="s">
        <v>57</v>
      </c>
    </row>
    <row r="382" spans="1:13">
      <c r="A382" s="43" t="s">
        <v>167</v>
      </c>
      <c r="B382" s="43" t="s">
        <v>309</v>
      </c>
      <c r="C382" s="51">
        <v>1</v>
      </c>
      <c r="D382" s="52" t="s">
        <v>182</v>
      </c>
      <c r="E382" s="47">
        <v>0</v>
      </c>
      <c r="F382" s="48" t="s">
        <v>183</v>
      </c>
      <c r="G382" s="48">
        <v>2</v>
      </c>
      <c r="H382" s="48"/>
      <c r="I382" s="48"/>
      <c r="J382" s="48">
        <v>2</v>
      </c>
      <c r="K382" s="63" t="s">
        <v>184</v>
      </c>
      <c r="L382" s="44"/>
      <c r="M382" s="54" t="s">
        <v>57</v>
      </c>
    </row>
    <row r="383" spans="1:13">
      <c r="A383" s="43" t="s">
        <v>167</v>
      </c>
      <c r="B383" s="43" t="s">
        <v>309</v>
      </c>
      <c r="C383" s="51">
        <v>2</v>
      </c>
      <c r="D383" s="52" t="s">
        <v>185</v>
      </c>
      <c r="E383" s="47">
        <v>0</v>
      </c>
      <c r="F383" s="48" t="s">
        <v>183</v>
      </c>
      <c r="G383" s="48">
        <v>1</v>
      </c>
      <c r="H383" s="48"/>
      <c r="I383" s="48"/>
      <c r="J383" s="48">
        <v>3</v>
      </c>
      <c r="K383" s="44">
        <v>0</v>
      </c>
      <c r="L383" s="44"/>
      <c r="M383" s="54" t="s">
        <v>57</v>
      </c>
    </row>
    <row r="384" spans="1:13">
      <c r="A384" s="43" t="s">
        <v>167</v>
      </c>
      <c r="B384" s="43" t="s">
        <v>309</v>
      </c>
      <c r="C384" s="51">
        <v>3</v>
      </c>
      <c r="D384" s="52" t="s">
        <v>186</v>
      </c>
      <c r="E384" s="47">
        <v>0</v>
      </c>
      <c r="F384" s="48" t="s">
        <v>187</v>
      </c>
      <c r="G384" s="48">
        <v>5</v>
      </c>
      <c r="H384" s="48"/>
      <c r="I384" s="48"/>
      <c r="J384" s="48">
        <v>8</v>
      </c>
      <c r="K384" s="44"/>
      <c r="L384" s="44"/>
      <c r="M384" s="54" t="s">
        <v>57</v>
      </c>
    </row>
    <row r="385" spans="1:13">
      <c r="A385" s="43" t="s">
        <v>167</v>
      </c>
      <c r="B385" s="43" t="s">
        <v>309</v>
      </c>
      <c r="C385" s="51">
        <v>4</v>
      </c>
      <c r="D385" s="52" t="s">
        <v>188</v>
      </c>
      <c r="E385" s="47">
        <v>0</v>
      </c>
      <c r="F385" s="48" t="s">
        <v>183</v>
      </c>
      <c r="G385" s="48">
        <v>8</v>
      </c>
      <c r="H385" s="48"/>
      <c r="I385" s="48"/>
      <c r="J385" s="48">
        <v>16</v>
      </c>
      <c r="K385" s="44" t="s">
        <v>188</v>
      </c>
      <c r="L385" s="44"/>
      <c r="M385" s="54" t="s">
        <v>57</v>
      </c>
    </row>
    <row r="386" spans="1:13">
      <c r="A386" s="43" t="s">
        <v>167</v>
      </c>
      <c r="B386" s="43" t="s">
        <v>309</v>
      </c>
      <c r="C386" s="51">
        <v>5</v>
      </c>
      <c r="D386" s="52" t="s">
        <v>189</v>
      </c>
      <c r="E386" s="47">
        <v>0</v>
      </c>
      <c r="F386" s="48" t="s">
        <v>183</v>
      </c>
      <c r="G386" s="48">
        <v>6</v>
      </c>
      <c r="H386" s="48"/>
      <c r="I386" s="48"/>
      <c r="J386" s="48">
        <v>22</v>
      </c>
      <c r="K386" s="44" t="s">
        <v>191</v>
      </c>
      <c r="L386" s="44"/>
      <c r="M386" s="54" t="s">
        <v>57</v>
      </c>
    </row>
    <row r="387" spans="1:13">
      <c r="A387" s="43" t="s">
        <v>167</v>
      </c>
      <c r="B387" s="43" t="s">
        <v>309</v>
      </c>
      <c r="C387" s="51">
        <v>6</v>
      </c>
      <c r="D387" s="52" t="s">
        <v>192</v>
      </c>
      <c r="E387" s="47">
        <v>0</v>
      </c>
      <c r="F387" s="48" t="s">
        <v>187</v>
      </c>
      <c r="G387" s="48">
        <v>6</v>
      </c>
      <c r="H387" s="48"/>
      <c r="I387" s="48"/>
      <c r="J387" s="48">
        <v>28</v>
      </c>
      <c r="K387" s="44"/>
      <c r="L387" s="44"/>
      <c r="M387" s="54" t="s">
        <v>57</v>
      </c>
    </row>
    <row r="388" spans="1:13">
      <c r="A388" s="43" t="s">
        <v>167</v>
      </c>
      <c r="B388" s="43" t="s">
        <v>309</v>
      </c>
      <c r="C388" s="51">
        <v>7</v>
      </c>
      <c r="D388" s="52" t="s">
        <v>193</v>
      </c>
      <c r="E388" s="47">
        <v>0</v>
      </c>
      <c r="F388" s="48" t="s">
        <v>187</v>
      </c>
      <c r="G388" s="48">
        <v>6</v>
      </c>
      <c r="H388" s="48"/>
      <c r="I388" s="48"/>
      <c r="J388" s="48">
        <v>34</v>
      </c>
      <c r="K388" s="44"/>
      <c r="L388" s="44"/>
      <c r="M388" s="54" t="s">
        <v>57</v>
      </c>
    </row>
    <row r="389" spans="1:13">
      <c r="A389" s="43" t="s">
        <v>167</v>
      </c>
      <c r="B389" s="43" t="s">
        <v>309</v>
      </c>
      <c r="C389" s="51">
        <v>8</v>
      </c>
      <c r="D389" s="52" t="s">
        <v>210</v>
      </c>
      <c r="E389" s="47">
        <v>0</v>
      </c>
      <c r="F389" s="48" t="s">
        <v>195</v>
      </c>
      <c r="G389" s="48">
        <v>8</v>
      </c>
      <c r="H389" s="48"/>
      <c r="I389" s="48"/>
      <c r="J389" s="48">
        <v>42</v>
      </c>
      <c r="K389" s="44" t="s">
        <v>196</v>
      </c>
      <c r="L389" s="44"/>
      <c r="M389" s="54" t="s">
        <v>57</v>
      </c>
    </row>
    <row r="390" spans="1:13">
      <c r="A390" s="43" t="s">
        <v>167</v>
      </c>
      <c r="B390" s="43" t="s">
        <v>309</v>
      </c>
      <c r="C390" s="51">
        <v>9</v>
      </c>
      <c r="D390" s="52" t="s">
        <v>197</v>
      </c>
      <c r="E390" s="47">
        <v>0</v>
      </c>
      <c r="F390" s="48" t="s">
        <v>195</v>
      </c>
      <c r="G390" s="48">
        <v>8</v>
      </c>
      <c r="H390" s="48"/>
      <c r="I390" s="48"/>
      <c r="J390" s="48">
        <v>50</v>
      </c>
      <c r="K390" s="44" t="s">
        <v>196</v>
      </c>
      <c r="L390" s="44"/>
      <c r="M390" s="54" t="s">
        <v>57</v>
      </c>
    </row>
    <row r="391" spans="1:13">
      <c r="A391" s="43" t="s">
        <v>167</v>
      </c>
      <c r="B391" s="43" t="s">
        <v>309</v>
      </c>
      <c r="C391" s="51">
        <v>10</v>
      </c>
      <c r="D391" s="52" t="s">
        <v>198</v>
      </c>
      <c r="E391" s="47">
        <v>0</v>
      </c>
      <c r="F391" s="48" t="s">
        <v>195</v>
      </c>
      <c r="G391" s="48">
        <v>8</v>
      </c>
      <c r="H391" s="48"/>
      <c r="I391" s="48"/>
      <c r="J391" s="48">
        <v>58</v>
      </c>
      <c r="K391" s="44" t="s">
        <v>196</v>
      </c>
      <c r="L391" s="44"/>
      <c r="M391" s="54" t="s">
        <v>57</v>
      </c>
    </row>
    <row r="392" spans="1:13">
      <c r="A392" s="43" t="s">
        <v>167</v>
      </c>
      <c r="B392" s="43" t="s">
        <v>309</v>
      </c>
      <c r="C392" s="51">
        <v>11</v>
      </c>
      <c r="D392" s="52" t="s">
        <v>199</v>
      </c>
      <c r="E392" s="47">
        <v>0</v>
      </c>
      <c r="F392" s="48" t="s">
        <v>195</v>
      </c>
      <c r="G392" s="48">
        <v>8</v>
      </c>
      <c r="H392" s="48"/>
      <c r="I392" s="48"/>
      <c r="J392" s="48">
        <v>66</v>
      </c>
      <c r="K392" s="44" t="s">
        <v>196</v>
      </c>
      <c r="L392" s="44"/>
      <c r="M392" s="54" t="s">
        <v>57</v>
      </c>
    </row>
    <row r="393" spans="1:13">
      <c r="A393" s="43" t="s">
        <v>167</v>
      </c>
      <c r="B393" s="43" t="s">
        <v>309</v>
      </c>
      <c r="C393" s="51">
        <v>12</v>
      </c>
      <c r="D393" s="52" t="s">
        <v>200</v>
      </c>
      <c r="E393" s="47">
        <v>0</v>
      </c>
      <c r="F393" s="48" t="s">
        <v>195</v>
      </c>
      <c r="G393" s="48">
        <v>8</v>
      </c>
      <c r="H393" s="48"/>
      <c r="I393" s="48"/>
      <c r="J393" s="48">
        <v>74</v>
      </c>
      <c r="K393" s="44" t="s">
        <v>196</v>
      </c>
      <c r="L393" s="44"/>
      <c r="M393" s="54" t="s">
        <v>57</v>
      </c>
    </row>
    <row r="394" spans="1:13">
      <c r="A394" s="43" t="s">
        <v>167</v>
      </c>
      <c r="B394" s="43" t="s">
        <v>309</v>
      </c>
      <c r="C394" s="51">
        <v>13</v>
      </c>
      <c r="D394" s="52" t="s">
        <v>201</v>
      </c>
      <c r="E394" s="47">
        <v>0</v>
      </c>
      <c r="F394" s="48" t="s">
        <v>187</v>
      </c>
      <c r="G394" s="48">
        <v>8</v>
      </c>
      <c r="H394" s="48"/>
      <c r="I394" s="48"/>
      <c r="J394" s="48">
        <v>82</v>
      </c>
      <c r="K394" s="44"/>
      <c r="L394" s="44"/>
      <c r="M394" s="54" t="s">
        <v>57</v>
      </c>
    </row>
    <row r="395" spans="1:13">
      <c r="A395" s="43" t="s">
        <v>167</v>
      </c>
      <c r="B395" s="43" t="s">
        <v>309</v>
      </c>
      <c r="C395" s="51">
        <v>14</v>
      </c>
      <c r="D395" s="52" t="s">
        <v>202</v>
      </c>
      <c r="E395" s="47">
        <v>0</v>
      </c>
      <c r="F395" s="48" t="s">
        <v>203</v>
      </c>
      <c r="G395" s="48">
        <v>12</v>
      </c>
      <c r="H395" s="48"/>
      <c r="I395" s="48"/>
      <c r="J395" s="48">
        <v>94</v>
      </c>
      <c r="K395" s="44" t="s">
        <v>307</v>
      </c>
      <c r="L395" s="44"/>
      <c r="M395" s="54" t="s">
        <v>57</v>
      </c>
    </row>
    <row r="396" spans="1:13">
      <c r="A396" s="43" t="s">
        <v>167</v>
      </c>
      <c r="B396" s="43" t="s">
        <v>309</v>
      </c>
      <c r="C396" s="51">
        <v>15</v>
      </c>
      <c r="D396" s="52" t="s">
        <v>204</v>
      </c>
      <c r="E396" s="47">
        <v>0</v>
      </c>
      <c r="F396" s="48" t="s">
        <v>187</v>
      </c>
      <c r="G396" s="48">
        <v>9</v>
      </c>
      <c r="H396" s="48"/>
      <c r="I396" s="48"/>
      <c r="J396" s="48">
        <v>103</v>
      </c>
      <c r="K396" s="44"/>
      <c r="L396" s="44"/>
      <c r="M396" s="54" t="s">
        <v>57</v>
      </c>
    </row>
    <row r="397" spans="1:13">
      <c r="A397" s="43" t="s">
        <v>167</v>
      </c>
      <c r="B397" s="43" t="s">
        <v>309</v>
      </c>
      <c r="C397" s="51">
        <v>16</v>
      </c>
      <c r="D397" s="52" t="s">
        <v>205</v>
      </c>
      <c r="E397" s="47">
        <v>0</v>
      </c>
      <c r="F397" s="48" t="s">
        <v>203</v>
      </c>
      <c r="G397" s="48">
        <v>11</v>
      </c>
      <c r="H397" s="48"/>
      <c r="I397" s="48"/>
      <c r="J397" s="48">
        <v>114</v>
      </c>
      <c r="K397" s="44"/>
      <c r="L397" s="44"/>
      <c r="M397" s="54" t="s">
        <v>57</v>
      </c>
    </row>
    <row r="398" spans="1:13" ht="45">
      <c r="A398" s="43" t="s">
        <v>167</v>
      </c>
      <c r="B398" s="43" t="s">
        <v>309</v>
      </c>
      <c r="C398" s="51">
        <v>17</v>
      </c>
      <c r="D398" s="52" t="s">
        <v>299</v>
      </c>
      <c r="E398" s="47">
        <v>0</v>
      </c>
      <c r="F398" s="48" t="s">
        <v>183</v>
      </c>
      <c r="G398" s="48">
        <v>1</v>
      </c>
      <c r="H398" s="48"/>
      <c r="I398" s="48"/>
      <c r="J398" s="48">
        <v>115</v>
      </c>
      <c r="K398" s="44" t="s">
        <v>310</v>
      </c>
      <c r="L398" s="44"/>
      <c r="M398" s="54" t="s">
        <v>57</v>
      </c>
    </row>
    <row r="399" spans="1:13">
      <c r="A399" s="56" t="s">
        <v>167</v>
      </c>
      <c r="B399" s="56" t="s">
        <v>309</v>
      </c>
      <c r="C399" s="57">
        <v>18</v>
      </c>
      <c r="D399" s="58" t="s">
        <v>311</v>
      </c>
      <c r="E399" s="59">
        <v>0</v>
      </c>
      <c r="F399" s="60" t="s">
        <v>183</v>
      </c>
      <c r="G399" s="60">
        <v>5</v>
      </c>
      <c r="H399" s="60"/>
      <c r="I399" s="60"/>
      <c r="J399" s="60">
        <v>120</v>
      </c>
      <c r="K399" s="61" t="s">
        <v>312</v>
      </c>
      <c r="L399" s="61"/>
      <c r="M399" s="62" t="s">
        <v>57</v>
      </c>
    </row>
  </sheetData>
  <autoFilter ref="A2:M399" xr:uid="{00000000-0009-0000-0000-000003000000}"/>
  <phoneticPr fontId="2" type="noConversion"/>
  <conditionalFormatting sqref="D1:D2 K353:K356 E1 K358:K364 K371:K381 G1:J1 K287:K299 K269:K285 K367:K369 F346:H349 E369:H371 E352:H357 E358:E359 E365:E367 F358:F367 E368:F368 F294 E311:E317 E319:E339 F310:F345 E263:F293 E295:F309 K5:L19 K22:L36 K39:L53 K56:L70 K107:L121 K124:L138 K158:L172 K175:L189 K192:L206 K209:L213 K216:L220 K223:L227 K230:L234 K237:L241 K244:L248 K251:L266 L269:L275 K303:L318 K321:L325 K328:L333 K336:L341 L352:L365 L285:L301 E2:M2 L3 K384:K399 L367:L399 E372:J399 A372:B399 M372:M399 K73:L87 K90:L104 K141:L155 E3:E258 F3:F262 M3:M261 G3:J261 A1:B261 K344:L349 A350:B351 E350:M351 L20 L37 L54 L71 L88 L105 L122 L139 L156 L173 L190 L207 L214 L221 L228 L235 L242 L249 L267 L319 L326 L334 L342">
    <cfRule type="expression" dxfId="150" priority="2486">
      <formula>($A1&lt;&gt;OFFSET($A1,-1,0))*(ROW($A1)&gt;=2)</formula>
    </cfRule>
  </conditionalFormatting>
  <conditionalFormatting sqref="A372:B399 A1:B261 A350:B351">
    <cfRule type="expression" dxfId="149" priority="2485">
      <formula>($A1=OFFSET($A1,-1,0))*(ROW($A1)&gt;=2)</formula>
    </cfRule>
  </conditionalFormatting>
  <conditionalFormatting sqref="F1 K1">
    <cfRule type="expression" dxfId="148" priority="2484">
      <formula>($A1&lt;&gt;OFFSET($A1,-1,0))*(ROW($A1)&gt;=2)</formula>
    </cfRule>
  </conditionalFormatting>
  <conditionalFormatting sqref="L1">
    <cfRule type="expression" dxfId="147" priority="2483">
      <formula>($A1&lt;&gt;OFFSET($A1,-1,0))*(ROW($A1)&gt;=2)</formula>
    </cfRule>
  </conditionalFormatting>
  <conditionalFormatting sqref="D353:D356 D358:D369 D371:D399 C372:C399 D3:D285 C3:C261 D287:D349 C350:D351">
    <cfRule type="expression" dxfId="146" priority="2481">
      <formula>($A3&lt;&gt;OFFSET($A3,1,0))*(ROW($A3)&gt;=7)</formula>
    </cfRule>
  </conditionalFormatting>
  <conditionalFormatting sqref="A367">
    <cfRule type="expression" dxfId="145" priority="2388">
      <formula>($A367&lt;&gt;OFFSET($A367,-1,0))*(ROW($A367)&gt;=2)</formula>
    </cfRule>
  </conditionalFormatting>
  <conditionalFormatting sqref="B353:B355">
    <cfRule type="expression" dxfId="144" priority="2451">
      <formula>($A353&lt;&gt;OFFSET($A353,-1,0))*(ROW($A353)&gt;=2)</formula>
    </cfRule>
  </conditionalFormatting>
  <conditionalFormatting sqref="B346:B349">
    <cfRule type="expression" dxfId="143" priority="2475">
      <formula>($A346&lt;&gt;OFFSET($A346,-1,0))*(ROW($A346)&gt;=2)</formula>
    </cfRule>
  </conditionalFormatting>
  <conditionalFormatting sqref="I346:J349">
    <cfRule type="expression" dxfId="142" priority="2477">
      <formula>($A346&lt;&gt;OFFSET($A346,-1,0))*(ROW($A346)&gt;=2)</formula>
    </cfRule>
  </conditionalFormatting>
  <conditionalFormatting sqref="B367 H367:J367">
    <cfRule type="expression" dxfId="141" priority="2435">
      <formula>($A367&lt;&gt;OFFSET($A367,-1,0))*(ROW($A367)&gt;=2)</formula>
    </cfRule>
  </conditionalFormatting>
  <conditionalFormatting sqref="B356">
    <cfRule type="expression" dxfId="140" priority="2449">
      <formula>($A356&lt;&gt;OFFSET($A356,-1,0))*(ROW($A356)&gt;=2)</formula>
    </cfRule>
  </conditionalFormatting>
  <conditionalFormatting sqref="B358:B366 B369 L366 G358:G367 B371 I371:J371 H358:J366 I353:J356 I369:J369">
    <cfRule type="expression" dxfId="139" priority="2453">
      <formula>($A353&lt;&gt;OFFSET($A353,-1,0))*(ROW($A353)&gt;=2)</formula>
    </cfRule>
  </conditionalFormatting>
  <conditionalFormatting sqref="G368">
    <cfRule type="expression" dxfId="138" priority="2429">
      <formula>($A368&lt;&gt;OFFSET($A368,-1,0))*(ROW($A368)&gt;=2)</formula>
    </cfRule>
  </conditionalFormatting>
  <conditionalFormatting sqref="B368 H368:J368">
    <cfRule type="expression" dxfId="137" priority="2428">
      <formula>($A368&lt;&gt;OFFSET($A368,-1,0))*(ROW($A368)&gt;=2)</formula>
    </cfRule>
  </conditionalFormatting>
  <conditionalFormatting sqref="B346:B349">
    <cfRule type="expression" dxfId="136" priority="2474">
      <formula>($A346=OFFSET($A346,-1,0))*(ROW($A346)&gt;=2)</formula>
    </cfRule>
  </conditionalFormatting>
  <conditionalFormatting sqref="B358:B366 B369 B371">
    <cfRule type="expression" dxfId="135" priority="2452">
      <formula>($A358=OFFSET($A358,-1,0))*(ROW($A358)&gt;=2)</formula>
    </cfRule>
  </conditionalFormatting>
  <conditionalFormatting sqref="B353:B355">
    <cfRule type="expression" dxfId="134" priority="2450">
      <formula>($A353=OFFSET($A353,-1,0))*(ROW($A353)&gt;=2)</formula>
    </cfRule>
  </conditionalFormatting>
  <conditionalFormatting sqref="B356">
    <cfRule type="expression" dxfId="133" priority="2448">
      <formula>($A356=OFFSET($A356,-1,0))*(ROW($A356)&gt;=2)</formula>
    </cfRule>
  </conditionalFormatting>
  <conditionalFormatting sqref="B367">
    <cfRule type="expression" dxfId="132" priority="2434">
      <formula>($A367=OFFSET($A367,-1,0))*(ROW($A367)&gt;=2)</formula>
    </cfRule>
  </conditionalFormatting>
  <conditionalFormatting sqref="B368">
    <cfRule type="expression" dxfId="131" priority="2427">
      <formula>($A368=OFFSET($A368,-1,0))*(ROW($A368)&gt;=2)</formula>
    </cfRule>
  </conditionalFormatting>
  <conditionalFormatting sqref="A353:A355">
    <cfRule type="expression" dxfId="130" priority="2392">
      <formula>($A353&lt;&gt;OFFSET($A353,-1,0))*(ROW($A353)&gt;=2)</formula>
    </cfRule>
  </conditionalFormatting>
  <conditionalFormatting sqref="A353:A355">
    <cfRule type="expression" dxfId="129" priority="2391">
      <formula>($A353=OFFSET($A353,-1,0))*(ROW($A353)&gt;=2)</formula>
    </cfRule>
  </conditionalFormatting>
  <conditionalFormatting sqref="C1:C2">
    <cfRule type="expression" dxfId="128" priority="2425">
      <formula>($A1&lt;&gt;OFFSET($A1,-1,0))*(ROW($A1)&gt;=2)</formula>
    </cfRule>
  </conditionalFormatting>
  <conditionalFormatting sqref="A356">
    <cfRule type="expression" dxfId="127" priority="2390">
      <formula>($A356&lt;&gt;OFFSET($A356,-1,0))*(ROW($A356)&gt;=2)</formula>
    </cfRule>
  </conditionalFormatting>
  <conditionalFormatting sqref="C346:C349">
    <cfRule type="expression" dxfId="126" priority="2423">
      <formula>($A346&lt;&gt;OFFSET($A346,1,0))*(ROW($A346)&gt;=7)</formula>
    </cfRule>
  </conditionalFormatting>
  <conditionalFormatting sqref="C369 C353:C356 C358:C366 C371">
    <cfRule type="expression" dxfId="125" priority="2421">
      <formula>($A353&lt;&gt;OFFSET($A353,1,0))*(ROW($A353)&gt;=7)</formula>
    </cfRule>
  </conditionalFormatting>
  <conditionalFormatting sqref="C367">
    <cfRule type="expression" dxfId="124" priority="2420">
      <formula>($A367&lt;&gt;OFFSET($A367,1,0))*(ROW($A367)&gt;=7)</formula>
    </cfRule>
  </conditionalFormatting>
  <conditionalFormatting sqref="C368">
    <cfRule type="expression" dxfId="123" priority="2419">
      <formula>($A368&lt;&gt;OFFSET($A368,1,0))*(ROW($A368)&gt;=7)</formula>
    </cfRule>
  </conditionalFormatting>
  <conditionalFormatting sqref="A346:A349">
    <cfRule type="expression" dxfId="122" priority="2400">
      <formula>($A346&lt;&gt;OFFSET($A346,-1,0))*(ROW($A346)&gt;=2)</formula>
    </cfRule>
  </conditionalFormatting>
  <conditionalFormatting sqref="A346:A349">
    <cfRule type="expression" dxfId="121" priority="2399">
      <formula>($A346=OFFSET($A346,-1,0))*(ROW($A346)&gt;=2)</formula>
    </cfRule>
  </conditionalFormatting>
  <conditionalFormatting sqref="A358:A366 A369 A371">
    <cfRule type="expression" dxfId="120" priority="2394">
      <formula>($A358&lt;&gt;OFFSET($A358,-1,0))*(ROW($A358)&gt;=2)</formula>
    </cfRule>
  </conditionalFormatting>
  <conditionalFormatting sqref="A358:A366 A369 A371">
    <cfRule type="expression" dxfId="119" priority="2393">
      <formula>($A358=OFFSET($A358,-1,0))*(ROW($A358)&gt;=2)</formula>
    </cfRule>
  </conditionalFormatting>
  <conditionalFormatting sqref="A356">
    <cfRule type="expression" dxfId="118" priority="2389">
      <formula>($A356=OFFSET($A356,-1,0))*(ROW($A356)&gt;=2)</formula>
    </cfRule>
  </conditionalFormatting>
  <conditionalFormatting sqref="A367">
    <cfRule type="expression" dxfId="117" priority="2387">
      <formula>($A367=OFFSET($A367,-1,0))*(ROW($A367)&gt;=2)</formula>
    </cfRule>
  </conditionalFormatting>
  <conditionalFormatting sqref="A368">
    <cfRule type="expression" dxfId="116" priority="2386">
      <formula>($A368&lt;&gt;OFFSET($A368,-1,0))*(ROW($A368)&gt;=2)</formula>
    </cfRule>
  </conditionalFormatting>
  <conditionalFormatting sqref="A368">
    <cfRule type="expression" dxfId="115" priority="2385">
      <formula>($A368=OFFSET($A368,-1,0))*(ROW($A368)&gt;=2)</formula>
    </cfRule>
  </conditionalFormatting>
  <conditionalFormatting sqref="M367">
    <cfRule type="expression" dxfId="114" priority="2236">
      <formula>($A367&lt;&gt;OFFSET($A367,-1,0))*(ROW($A367)&gt;=2)</formula>
    </cfRule>
  </conditionalFormatting>
  <conditionalFormatting sqref="M1">
    <cfRule type="expression" dxfId="113" priority="2243">
      <formula>($A1&lt;&gt;OFFSET($A1,-1,0))*(ROW($A1)&gt;=2)</formula>
    </cfRule>
  </conditionalFormatting>
  <conditionalFormatting sqref="M346:M349">
    <cfRule type="expression" dxfId="112" priority="2241">
      <formula>($A346&lt;&gt;OFFSET($A346,-1,0))*(ROW($A346)&gt;=2)</formula>
    </cfRule>
  </conditionalFormatting>
  <conditionalFormatting sqref="M366 M369 M353:M356 M358:M364 M371">
    <cfRule type="expression" dxfId="111" priority="2238">
      <formula>($A353&lt;&gt;OFFSET($A353,-1,0))*(ROW($A353)&gt;=2)</formula>
    </cfRule>
  </conditionalFormatting>
  <conditionalFormatting sqref="M365">
    <cfRule type="expression" dxfId="110" priority="2237">
      <formula>($A365&lt;&gt;OFFSET($A365,-1,0))*(ROW($A365)&gt;=2)</formula>
    </cfRule>
  </conditionalFormatting>
  <conditionalFormatting sqref="M368">
    <cfRule type="expression" dxfId="109" priority="2235">
      <formula>($A368&lt;&gt;OFFSET($A368,-1,0))*(ROW($A368)&gt;=2)</formula>
    </cfRule>
  </conditionalFormatting>
  <conditionalFormatting sqref="C262:C285 C287:C345">
    <cfRule type="expression" dxfId="108" priority="1338">
      <formula>($A262&lt;&gt;OFFSET($A262,1,0))*(ROW($A262)&gt;=7)</formula>
    </cfRule>
  </conditionalFormatting>
  <conditionalFormatting sqref="L4 L21 L38 L55 L72 L89 L106 L123 L140 L157 L174 L191 L208 L215 L222 L229 L236 L243 L250">
    <cfRule type="expression" dxfId="107" priority="1362">
      <formula>($A4&lt;&gt;OFFSET($A4,-1,0))*(ROW($A4)&gt;=2)</formula>
    </cfRule>
  </conditionalFormatting>
  <conditionalFormatting sqref="J262:J285 J287:J345">
    <cfRule type="expression" dxfId="106" priority="1340">
      <formula>($A262&lt;&gt;OFFSET($A262,-1,0))*(ROW($A262)&gt;=2)</formula>
    </cfRule>
  </conditionalFormatting>
  <conditionalFormatting sqref="G262:G285 B262:B285 B287:B345 G287:G345">
    <cfRule type="expression" dxfId="105" priority="1346">
      <formula>($A262&lt;&gt;OFFSET($A262,-1,0))*(ROW($A262)&gt;=2)</formula>
    </cfRule>
  </conditionalFormatting>
  <conditionalFormatting sqref="I262:I285 I287:I345 L268 L302 L320 L327 L335 L343">
    <cfRule type="expression" dxfId="104" priority="1341">
      <formula>($A262&lt;&gt;OFFSET($A262,-1,0))*(ROW($A262)&gt;=2)</formula>
    </cfRule>
  </conditionalFormatting>
  <conditionalFormatting sqref="H262:H285 H287:H345">
    <cfRule type="expression" dxfId="103" priority="1339">
      <formula>($A262&lt;&gt;OFFSET($A262,-1,0))*(ROW($A262)&gt;=2)</formula>
    </cfRule>
  </conditionalFormatting>
  <conditionalFormatting sqref="M262:M285 M287:M345">
    <cfRule type="expression" dxfId="102" priority="1324">
      <formula>($A262&lt;&gt;OFFSET($A262,-1,0))*(ROW($A262)&gt;=2)</formula>
    </cfRule>
  </conditionalFormatting>
  <conditionalFormatting sqref="B262:B285 B287:B345">
    <cfRule type="expression" dxfId="101" priority="1345">
      <formula>($A262=OFFSET($A262,-1,0))*(ROW($A262)&gt;=2)</formula>
    </cfRule>
  </conditionalFormatting>
  <conditionalFormatting sqref="A262:A285 A287:A345">
    <cfRule type="expression" dxfId="100" priority="1335">
      <formula>($A262&lt;&gt;OFFSET($A262,-1,0))*(ROW($A262)&gt;=2)</formula>
    </cfRule>
  </conditionalFormatting>
  <conditionalFormatting sqref="A262:A285 A287:A345">
    <cfRule type="expression" dxfId="99" priority="1334">
      <formula>($A262=OFFSET($A262,-1,0))*(ROW($A262)&gt;=2)</formula>
    </cfRule>
  </conditionalFormatting>
  <conditionalFormatting sqref="C352">
    <cfRule type="expression" dxfId="98" priority="950">
      <formula>($A352&lt;&gt;OFFSET($A352,1,0))*(ROW($A352)&gt;=7)</formula>
    </cfRule>
  </conditionalFormatting>
  <conditionalFormatting sqref="I352:J352">
    <cfRule type="expression" dxfId="97" priority="954">
      <formula>($A352&lt;&gt;OFFSET($A352,-1,0))*(ROW($A352)&gt;=2)</formula>
    </cfRule>
  </conditionalFormatting>
  <conditionalFormatting sqref="C357">
    <cfRule type="expression" dxfId="96" priority="927">
      <formula>($A357&lt;&gt;OFFSET($A357,1,0))*(ROW($A357)&gt;=7)</formula>
    </cfRule>
  </conditionalFormatting>
  <conditionalFormatting sqref="A352">
    <cfRule type="expression" dxfId="95" priority="946">
      <formula>($A352=OFFSET($A352,-1,0))*(ROW($A352)&gt;=2)</formula>
    </cfRule>
  </conditionalFormatting>
  <conditionalFormatting sqref="M352">
    <cfRule type="expression" dxfId="94" priority="938">
      <formula>($A352&lt;&gt;OFFSET($A352,-1,0))*(ROW($A352)&gt;=2)</formula>
    </cfRule>
  </conditionalFormatting>
  <conditionalFormatting sqref="I357:J357">
    <cfRule type="expression" dxfId="93" priority="931">
      <formula>($A357&lt;&gt;OFFSET($A357,-1,0))*(ROW($A357)&gt;=2)</formula>
    </cfRule>
  </conditionalFormatting>
  <conditionalFormatting sqref="B352">
    <cfRule type="expression" dxfId="92" priority="953">
      <formula>($A352&lt;&gt;OFFSET($A352,-1,0))*(ROW($A352)&gt;=2)</formula>
    </cfRule>
  </conditionalFormatting>
  <conditionalFormatting sqref="B357">
    <cfRule type="expression" dxfId="91" priority="930">
      <formula>($A357&lt;&gt;OFFSET($A357,-1,0))*(ROW($A357)&gt;=2)</formula>
    </cfRule>
  </conditionalFormatting>
  <conditionalFormatting sqref="K352">
    <cfRule type="expression" dxfId="90" priority="956">
      <formula>($A352&lt;&gt;OFFSET($A352,-1,0))*(ROW($A352)&gt;=2)</formula>
    </cfRule>
  </conditionalFormatting>
  <conditionalFormatting sqref="A352">
    <cfRule type="expression" dxfId="89" priority="947">
      <formula>($A352&lt;&gt;OFFSET($A352,-1,0))*(ROW($A352)&gt;=2)</formula>
    </cfRule>
  </conditionalFormatting>
  <conditionalFormatting sqref="M357">
    <cfRule type="expression" dxfId="88" priority="915">
      <formula>($A357&lt;&gt;OFFSET($A357,-1,0))*(ROW($A357)&gt;=2)</formula>
    </cfRule>
  </conditionalFormatting>
  <conditionalFormatting sqref="K357">
    <cfRule type="expression" dxfId="87" priority="933">
      <formula>($A357&lt;&gt;OFFSET($A357,-1,0))*(ROW($A357)&gt;=2)</formula>
    </cfRule>
  </conditionalFormatting>
  <conditionalFormatting sqref="D352">
    <cfRule type="expression" dxfId="86" priority="955">
      <formula>($A352&lt;&gt;OFFSET($A352,1,0))*(ROW($A352)&gt;=7)</formula>
    </cfRule>
  </conditionalFormatting>
  <conditionalFormatting sqref="B352">
    <cfRule type="expression" dxfId="85" priority="952">
      <formula>($A352=OFFSET($A352,-1,0))*(ROW($A352)&gt;=2)</formula>
    </cfRule>
  </conditionalFormatting>
  <conditionalFormatting sqref="A357">
    <cfRule type="expression" dxfId="84" priority="924">
      <formula>($A357&lt;&gt;OFFSET($A357,-1,0))*(ROW($A357)&gt;=2)</formula>
    </cfRule>
  </conditionalFormatting>
  <conditionalFormatting sqref="A357">
    <cfRule type="expression" dxfId="83" priority="923">
      <formula>($A357=OFFSET($A357,-1,0))*(ROW($A357)&gt;=2)</formula>
    </cfRule>
  </conditionalFormatting>
  <conditionalFormatting sqref="D357">
    <cfRule type="expression" dxfId="82" priority="932">
      <formula>($A357&lt;&gt;OFFSET($A357,1,0))*(ROW($A357)&gt;=7)</formula>
    </cfRule>
  </conditionalFormatting>
  <conditionalFormatting sqref="B357">
    <cfRule type="expression" dxfId="81" priority="929">
      <formula>($A357=OFFSET($A357,-1,0))*(ROW($A357)&gt;=2)</formula>
    </cfRule>
  </conditionalFormatting>
  <conditionalFormatting sqref="K370">
    <cfRule type="expression" dxfId="80" priority="910">
      <formula>($A370&lt;&gt;OFFSET($A370,-1,0))*(ROW($A370)&gt;=2)</formula>
    </cfRule>
  </conditionalFormatting>
  <conditionalFormatting sqref="D370">
    <cfRule type="expression" dxfId="79" priority="909">
      <formula>($A370&lt;&gt;OFFSET($A370,1,0))*(ROW($A370)&gt;=7)</formula>
    </cfRule>
  </conditionalFormatting>
  <conditionalFormatting sqref="B370 I370:J370">
    <cfRule type="expression" dxfId="78" priority="908">
      <formula>($A370&lt;&gt;OFFSET($A370,-1,0))*(ROW($A370)&gt;=2)</formula>
    </cfRule>
  </conditionalFormatting>
  <conditionalFormatting sqref="B370">
    <cfRule type="expression" dxfId="77" priority="907">
      <formula>($A370=OFFSET($A370,-1,0))*(ROW($A370)&gt;=2)</formula>
    </cfRule>
  </conditionalFormatting>
  <conditionalFormatting sqref="C370">
    <cfRule type="expression" dxfId="76" priority="906">
      <formula>($A370&lt;&gt;OFFSET($A370,1,0))*(ROW($A370)&gt;=7)</formula>
    </cfRule>
  </conditionalFormatting>
  <conditionalFormatting sqref="A370">
    <cfRule type="expression" dxfId="75" priority="903">
      <formula>($A370&lt;&gt;OFFSET($A370,-1,0))*(ROW($A370)&gt;=2)</formula>
    </cfRule>
  </conditionalFormatting>
  <conditionalFormatting sqref="A370">
    <cfRule type="expression" dxfId="74" priority="902">
      <formula>($A370=OFFSET($A370,-1,0))*(ROW($A370)&gt;=2)</formula>
    </cfRule>
  </conditionalFormatting>
  <conditionalFormatting sqref="M370">
    <cfRule type="expression" dxfId="73" priority="894">
      <formula>($A370&lt;&gt;OFFSET($A370,-1,0))*(ROW($A370)&gt;=2)</formula>
    </cfRule>
  </conditionalFormatting>
  <conditionalFormatting sqref="E360:E364 E318 E310 E294">
    <cfRule type="expression" dxfId="72" priority="673">
      <formula>($A294&lt;&gt;OFFSET($A294,-1,0))*(ROW($A294)&gt;=2)</formula>
    </cfRule>
  </conditionalFormatting>
  <conditionalFormatting sqref="E340:E344 E259:E262">
    <cfRule type="expression" dxfId="71" priority="672">
      <formula>($A259&lt;&gt;OFFSET($A259,-1,0))*(ROW($A259)&gt;=2)</formula>
    </cfRule>
  </conditionalFormatting>
  <conditionalFormatting sqref="E345:E349">
    <cfRule type="expression" dxfId="70" priority="671">
      <formula>($A345&lt;&gt;OFFSET($A345,-1,0))*(ROW($A345)&gt;=2)</formula>
    </cfRule>
  </conditionalFormatting>
  <conditionalFormatting sqref="K301">
    <cfRule type="expression" dxfId="69" priority="670">
      <formula>($A301&lt;&gt;OFFSET($A301,-1,0))*(ROW($A301)&gt;=2)</formula>
    </cfRule>
  </conditionalFormatting>
  <conditionalFormatting sqref="E1">
    <cfRule type="expression" dxfId="68" priority="668">
      <formula>($A1=OFFSET($A1,-1,0))*(ROW($A1)&gt;=2)</formula>
    </cfRule>
  </conditionalFormatting>
  <conditionalFormatting sqref="L276">
    <cfRule type="expression" dxfId="67" priority="667">
      <formula>($A276&lt;&gt;OFFSET($A276,-1,0))*(ROW($A276)&gt;=2)</formula>
    </cfRule>
  </conditionalFormatting>
  <conditionalFormatting sqref="L277:L284">
    <cfRule type="expression" dxfId="66" priority="666">
      <formula>($A277&lt;&gt;OFFSET($A277,-1,0))*(ROW($A277)&gt;=2)</formula>
    </cfRule>
  </conditionalFormatting>
  <conditionalFormatting sqref="K286">
    <cfRule type="expression" dxfId="65" priority="335">
      <formula>($A286&lt;&gt;OFFSET($A286,-1,0))*(ROW($A286)&gt;=2)</formula>
    </cfRule>
  </conditionalFormatting>
  <conditionalFormatting sqref="D286">
    <cfRule type="expression" dxfId="64" priority="334">
      <formula>($A286&lt;&gt;OFFSET($A286,1,0))*(ROW($A286)&gt;=7)</formula>
    </cfRule>
  </conditionalFormatting>
  <conditionalFormatting sqref="A286">
    <cfRule type="expression" dxfId="63" priority="324">
      <formula>($A286&lt;&gt;OFFSET($A286,-1,0))*(ROW($A286)&gt;=2)</formula>
    </cfRule>
  </conditionalFormatting>
  <conditionalFormatting sqref="M286">
    <cfRule type="expression" dxfId="62" priority="316">
      <formula>($A286&lt;&gt;OFFSET($A286,-1,0))*(ROW($A286)&gt;=2)</formula>
    </cfRule>
  </conditionalFormatting>
  <conditionalFormatting sqref="B286">
    <cfRule type="expression" dxfId="61" priority="333">
      <formula>($A286&lt;&gt;OFFSET($A286,-1,0))*(ROW($A286)&gt;=2)</formula>
    </cfRule>
  </conditionalFormatting>
  <conditionalFormatting sqref="B286">
    <cfRule type="expression" dxfId="60" priority="332">
      <formula>($A286=OFFSET($A286,-1,0))*(ROW($A286)&gt;=2)</formula>
    </cfRule>
  </conditionalFormatting>
  <conditionalFormatting sqref="C286">
    <cfRule type="expression" dxfId="59" priority="327">
      <formula>($A286&lt;&gt;OFFSET($A286,1,0))*(ROW($A286)&gt;=7)</formula>
    </cfRule>
  </conditionalFormatting>
  <conditionalFormatting sqref="A286">
    <cfRule type="expression" dxfId="58" priority="323">
      <formula>($A286=OFFSET($A286,-1,0))*(ROW($A286)&gt;=2)</formula>
    </cfRule>
  </conditionalFormatting>
  <conditionalFormatting sqref="I286">
    <cfRule type="expression" dxfId="57" priority="313">
      <formula>($A286&lt;&gt;OFFSET($A286,-1,0))*(ROW($A286)&gt;=2)</formula>
    </cfRule>
  </conditionalFormatting>
  <conditionalFormatting sqref="J286">
    <cfRule type="expression" dxfId="56" priority="312">
      <formula>($A286&lt;&gt;OFFSET($A286,-1,0))*(ROW($A286)&gt;=2)</formula>
    </cfRule>
  </conditionalFormatting>
  <conditionalFormatting sqref="H286">
    <cfRule type="expression" dxfId="55" priority="311">
      <formula>($A286&lt;&gt;OFFSET($A286,-1,0))*(ROW($A286)&gt;=2)</formula>
    </cfRule>
  </conditionalFormatting>
  <conditionalFormatting sqref="G286">
    <cfRule type="expression" dxfId="54" priority="314">
      <formula>($A286&lt;&gt;OFFSET($A286,-1,0))*(ROW($A286)&gt;=2)</formula>
    </cfRule>
  </conditionalFormatting>
  <conditionalFormatting sqref="K4">
    <cfRule type="expression" dxfId="53" priority="91">
      <formula>($A4&lt;&gt;OFFSET($A4,-1,0))*(ROW($A4)&gt;=2)</formula>
    </cfRule>
  </conditionalFormatting>
  <conditionalFormatting sqref="K21">
    <cfRule type="expression" dxfId="52" priority="89">
      <formula>($A21&lt;&gt;OFFSET($A21,-1,0))*(ROW($A21)&gt;=2)</formula>
    </cfRule>
  </conditionalFormatting>
  <conditionalFormatting sqref="K38">
    <cfRule type="expression" dxfId="51" priority="87">
      <formula>($A38&lt;&gt;OFFSET($A38,-1,0))*(ROW($A38)&gt;=2)</formula>
    </cfRule>
  </conditionalFormatting>
  <conditionalFormatting sqref="K55">
    <cfRule type="expression" dxfId="50" priority="85">
      <formula>($A55&lt;&gt;OFFSET($A55,-1,0))*(ROW($A55)&gt;=2)</formula>
    </cfRule>
  </conditionalFormatting>
  <conditionalFormatting sqref="K72">
    <cfRule type="expression" dxfId="49" priority="83">
      <formula>($A72&lt;&gt;OFFSET($A72,-1,0))*(ROW($A72)&gt;=2)</formula>
    </cfRule>
  </conditionalFormatting>
  <conditionalFormatting sqref="K89">
    <cfRule type="expression" dxfId="48" priority="79">
      <formula>($A89&lt;&gt;OFFSET($A89,-1,0))*(ROW($A89)&gt;=2)</formula>
    </cfRule>
  </conditionalFormatting>
  <conditionalFormatting sqref="K106">
    <cfRule type="expression" dxfId="47" priority="73">
      <formula>($A106&lt;&gt;OFFSET($A106,-1,0))*(ROW($A106)&gt;=2)</formula>
    </cfRule>
  </conditionalFormatting>
  <conditionalFormatting sqref="K123">
    <cfRule type="expression" dxfId="46" priority="71">
      <formula>($A123&lt;&gt;OFFSET($A123,-1,0))*(ROW($A123)&gt;=2)</formula>
    </cfRule>
  </conditionalFormatting>
  <conditionalFormatting sqref="K140">
    <cfRule type="expression" dxfId="45" priority="69">
      <formula>($A140&lt;&gt;OFFSET($A140,-1,0))*(ROW($A140)&gt;=2)</formula>
    </cfRule>
  </conditionalFormatting>
  <conditionalFormatting sqref="K157">
    <cfRule type="expression" dxfId="44" priority="63">
      <formula>($A157&lt;&gt;OFFSET($A157,-1,0))*(ROW($A157)&gt;=2)</formula>
    </cfRule>
  </conditionalFormatting>
  <conditionalFormatting sqref="K174">
    <cfRule type="expression" dxfId="43" priority="61">
      <formula>($A174&lt;&gt;OFFSET($A174,-1,0))*(ROW($A174)&gt;=2)</formula>
    </cfRule>
  </conditionalFormatting>
  <conditionalFormatting sqref="K191">
    <cfRule type="expression" dxfId="42" priority="59">
      <formula>($A191&lt;&gt;OFFSET($A191,-1,0))*(ROW($A191)&gt;=2)</formula>
    </cfRule>
  </conditionalFormatting>
  <conditionalFormatting sqref="K208">
    <cfRule type="expression" dxfId="41" priority="57">
      <formula>($A208&lt;&gt;OFFSET($A208,-1,0))*(ROW($A208)&gt;=2)</formula>
    </cfRule>
  </conditionalFormatting>
  <conditionalFormatting sqref="K215">
    <cfRule type="expression" dxfId="40" priority="55">
      <formula>($A215&lt;&gt;OFFSET($A215,-1,0))*(ROW($A215)&gt;=2)</formula>
    </cfRule>
  </conditionalFormatting>
  <conditionalFormatting sqref="K222">
    <cfRule type="expression" dxfId="39" priority="53">
      <formula>($A222&lt;&gt;OFFSET($A222,-1,0))*(ROW($A222)&gt;=2)</formula>
    </cfRule>
  </conditionalFormatting>
  <conditionalFormatting sqref="K229">
    <cfRule type="expression" dxfId="38" priority="51">
      <formula>($A229&lt;&gt;OFFSET($A229,-1,0))*(ROW($A229)&gt;=2)</formula>
    </cfRule>
  </conditionalFormatting>
  <conditionalFormatting sqref="K236">
    <cfRule type="expression" dxfId="37" priority="49">
      <formula>($A236&lt;&gt;OFFSET($A236,-1,0))*(ROW($A236)&gt;=2)</formula>
    </cfRule>
  </conditionalFormatting>
  <conditionalFormatting sqref="K243">
    <cfRule type="expression" dxfId="36" priority="47">
      <formula>($A243&lt;&gt;OFFSET($A243,-1,0))*(ROW($A243)&gt;=2)</formula>
    </cfRule>
  </conditionalFormatting>
  <conditionalFormatting sqref="K250">
    <cfRule type="expression" dxfId="35" priority="45">
      <formula>($A250&lt;&gt;OFFSET($A250,-1,0))*(ROW($A250)&gt;=2)</formula>
    </cfRule>
  </conditionalFormatting>
  <conditionalFormatting sqref="K268">
    <cfRule type="expression" dxfId="34" priority="43">
      <formula>($A268&lt;&gt;OFFSET($A268,-1,0))*(ROW($A268)&gt;=2)</formula>
    </cfRule>
  </conditionalFormatting>
  <conditionalFormatting sqref="K302">
    <cfRule type="expression" dxfId="33" priority="41">
      <formula>($A302&lt;&gt;OFFSET($A302,-1,0))*(ROW($A302)&gt;=2)</formula>
    </cfRule>
  </conditionalFormatting>
  <conditionalFormatting sqref="K320">
    <cfRule type="expression" dxfId="32" priority="39">
      <formula>($A320&lt;&gt;OFFSET($A320,-1,0))*(ROW($A320)&gt;=2)</formula>
    </cfRule>
  </conditionalFormatting>
  <conditionalFormatting sqref="K327">
    <cfRule type="expression" dxfId="31" priority="37">
      <formula>($A327&lt;&gt;OFFSET($A327,-1,0))*(ROW($A327)&gt;=2)</formula>
    </cfRule>
  </conditionalFormatting>
  <conditionalFormatting sqref="K335">
    <cfRule type="expression" dxfId="30" priority="35">
      <formula>($A335&lt;&gt;OFFSET($A335,-1,0))*(ROW($A335)&gt;=2)</formula>
    </cfRule>
  </conditionalFormatting>
  <conditionalFormatting sqref="K343">
    <cfRule type="expression" dxfId="29" priority="33">
      <formula>($A343&lt;&gt;OFFSET($A343,-1,0))*(ROW($A343)&gt;=2)</formula>
    </cfRule>
  </conditionalFormatting>
  <conditionalFormatting sqref="K366">
    <cfRule type="expression" dxfId="28" priority="31">
      <formula>($A366&lt;&gt;OFFSET($A366,-1,0))*(ROW($A366)&gt;=2)</formula>
    </cfRule>
  </conditionalFormatting>
  <conditionalFormatting sqref="K383">
    <cfRule type="expression" dxfId="27" priority="29">
      <formula>($A383&lt;&gt;OFFSET($A383,-1,0))*(ROW($A383)&gt;=2)</formula>
    </cfRule>
  </conditionalFormatting>
  <conditionalFormatting sqref="K3">
    <cfRule type="expression" dxfId="26" priority="27">
      <formula>($A3&lt;&gt;OFFSET($A3,-1,0))*(ROW($A3)&gt;=2)</formula>
    </cfRule>
  </conditionalFormatting>
  <conditionalFormatting sqref="K20">
    <cfRule type="expression" dxfId="25" priority="26">
      <formula>($A20&lt;&gt;OFFSET($A20,-1,0))*(ROW($A20)&gt;=2)</formula>
    </cfRule>
  </conditionalFormatting>
  <conditionalFormatting sqref="K37">
    <cfRule type="expression" dxfId="24" priority="25">
      <formula>($A37&lt;&gt;OFFSET($A37,-1,0))*(ROW($A37)&gt;=2)</formula>
    </cfRule>
  </conditionalFormatting>
  <conditionalFormatting sqref="K54">
    <cfRule type="expression" dxfId="23" priority="24">
      <formula>($A54&lt;&gt;OFFSET($A54,-1,0))*(ROW($A54)&gt;=2)</formula>
    </cfRule>
  </conditionalFormatting>
  <conditionalFormatting sqref="K71">
    <cfRule type="expression" dxfId="22" priority="23">
      <formula>($A71&lt;&gt;OFFSET($A71,-1,0))*(ROW($A71)&gt;=2)</formula>
    </cfRule>
  </conditionalFormatting>
  <conditionalFormatting sqref="K88">
    <cfRule type="expression" dxfId="21" priority="22">
      <formula>($A88&lt;&gt;OFFSET($A88,-1,0))*(ROW($A88)&gt;=2)</formula>
    </cfRule>
  </conditionalFormatting>
  <conditionalFormatting sqref="K105">
    <cfRule type="expression" dxfId="20" priority="21">
      <formula>($A105&lt;&gt;OFFSET($A105,-1,0))*(ROW($A105)&gt;=2)</formula>
    </cfRule>
  </conditionalFormatting>
  <conditionalFormatting sqref="K122">
    <cfRule type="expression" dxfId="19" priority="20">
      <formula>($A122&lt;&gt;OFFSET($A122,-1,0))*(ROW($A122)&gt;=2)</formula>
    </cfRule>
  </conditionalFormatting>
  <conditionalFormatting sqref="K139">
    <cfRule type="expression" dxfId="18" priority="19">
      <formula>($A139&lt;&gt;OFFSET($A139,-1,0))*(ROW($A139)&gt;=2)</formula>
    </cfRule>
  </conditionalFormatting>
  <conditionalFormatting sqref="K156">
    <cfRule type="expression" dxfId="17" priority="18">
      <formula>($A156&lt;&gt;OFFSET($A156,-1,0))*(ROW($A156)&gt;=2)</formula>
    </cfRule>
  </conditionalFormatting>
  <conditionalFormatting sqref="K173">
    <cfRule type="expression" dxfId="16" priority="17">
      <formula>($A173&lt;&gt;OFFSET($A173,-1,0))*(ROW($A173)&gt;=2)</formula>
    </cfRule>
  </conditionalFormatting>
  <conditionalFormatting sqref="K190">
    <cfRule type="expression" dxfId="15" priority="16">
      <formula>($A190&lt;&gt;OFFSET($A190,-1,0))*(ROW($A190)&gt;=2)</formula>
    </cfRule>
  </conditionalFormatting>
  <conditionalFormatting sqref="K207">
    <cfRule type="expression" dxfId="14" priority="15">
      <formula>($A207&lt;&gt;OFFSET($A207,-1,0))*(ROW($A207)&gt;=2)</formula>
    </cfRule>
  </conditionalFormatting>
  <conditionalFormatting sqref="K214">
    <cfRule type="expression" dxfId="13" priority="14">
      <formula>($A214&lt;&gt;OFFSET($A214,-1,0))*(ROW($A214)&gt;=2)</formula>
    </cfRule>
  </conditionalFormatting>
  <conditionalFormatting sqref="K221">
    <cfRule type="expression" dxfId="12" priority="13">
      <formula>($A221&lt;&gt;OFFSET($A221,-1,0))*(ROW($A221)&gt;=2)</formula>
    </cfRule>
  </conditionalFormatting>
  <conditionalFormatting sqref="K228">
    <cfRule type="expression" dxfId="11" priority="12">
      <formula>($A228&lt;&gt;OFFSET($A228,-1,0))*(ROW($A228)&gt;=2)</formula>
    </cfRule>
  </conditionalFormatting>
  <conditionalFormatting sqref="K235">
    <cfRule type="expression" dxfId="10" priority="11">
      <formula>($A235&lt;&gt;OFFSET($A235,-1,0))*(ROW($A235)&gt;=2)</formula>
    </cfRule>
  </conditionalFormatting>
  <conditionalFormatting sqref="K242">
    <cfRule type="expression" dxfId="9" priority="10">
      <formula>($A242&lt;&gt;OFFSET($A242,-1,0))*(ROW($A242)&gt;=2)</formula>
    </cfRule>
  </conditionalFormatting>
  <conditionalFormatting sqref="K249">
    <cfRule type="expression" dxfId="8" priority="9">
      <formula>($A249&lt;&gt;OFFSET($A249,-1,0))*(ROW($A249)&gt;=2)</formula>
    </cfRule>
  </conditionalFormatting>
  <conditionalFormatting sqref="K267">
    <cfRule type="expression" dxfId="7" priority="8">
      <formula>($A267&lt;&gt;OFFSET($A267,-1,0))*(ROW($A267)&gt;=2)</formula>
    </cfRule>
  </conditionalFormatting>
  <conditionalFormatting sqref="K300">
    <cfRule type="expression" dxfId="6" priority="7">
      <formula>($A300&lt;&gt;OFFSET($A300,-1,0))*(ROW($A300)&gt;=2)</formula>
    </cfRule>
  </conditionalFormatting>
  <conditionalFormatting sqref="K319">
    <cfRule type="expression" dxfId="5" priority="6">
      <formula>($A319&lt;&gt;OFFSET($A319,-1,0))*(ROW($A319)&gt;=2)</formula>
    </cfRule>
  </conditionalFormatting>
  <conditionalFormatting sqref="K326">
    <cfRule type="expression" dxfId="4" priority="5">
      <formula>($A326&lt;&gt;OFFSET($A326,-1,0))*(ROW($A326)&gt;=2)</formula>
    </cfRule>
  </conditionalFormatting>
  <conditionalFormatting sqref="K334">
    <cfRule type="expression" dxfId="3" priority="4">
      <formula>($A334&lt;&gt;OFFSET($A334,-1,0))*(ROW($A334)&gt;=2)</formula>
    </cfRule>
  </conditionalFormatting>
  <conditionalFormatting sqref="K342">
    <cfRule type="expression" dxfId="2" priority="3">
      <formula>($A342&lt;&gt;OFFSET($A342,-1,0))*(ROW($A342)&gt;=2)</formula>
    </cfRule>
  </conditionalFormatting>
  <conditionalFormatting sqref="K365">
    <cfRule type="expression" dxfId="1" priority="2">
      <formula>($A365&lt;&gt;OFFSET($A365,-1,0))*(ROW($A365)&gt;=2)</formula>
    </cfRule>
  </conditionalFormatting>
  <conditionalFormatting sqref="K382">
    <cfRule type="expression" dxfId="0" priority="1">
      <formula>($A382&lt;&gt;OFFSET($A382,-1,0))*(ROW($A382)&gt;=2)</formula>
    </cfRule>
  </conditionalFormatting>
  <hyperlinks>
    <hyperlink ref="A3" location="인터페이스정의서!A484" display="IFMIBAT0018" xr:uid="{00000000-0004-0000-0300-000000000000}"/>
    <hyperlink ref="A4" location="인터페이스정의서!A484" display="IFMIBAT0018" xr:uid="{00000000-0004-0000-0300-000001000000}"/>
    <hyperlink ref="A5" location="인터페이스정의서!A484" display="IFMIBAT0018" xr:uid="{00000000-0004-0000-0300-000002000000}"/>
    <hyperlink ref="A7" location="인터페이스정의서!A484" display="IFMIBAT0018" xr:uid="{00000000-0004-0000-0300-000003000000}"/>
    <hyperlink ref="A9" location="인터페이스정의서!A484" display="IFMIBAT0018" xr:uid="{00000000-0004-0000-0300-000004000000}"/>
    <hyperlink ref="A11" location="인터페이스정의서!A484" display="IFMIBAT0018" xr:uid="{00000000-0004-0000-0300-000005000000}"/>
    <hyperlink ref="A13" location="인터페이스정의서!A484" display="IFMIBAT0018" xr:uid="{00000000-0004-0000-0300-000006000000}"/>
    <hyperlink ref="A15" location="인터페이스정의서!A484" display="IFMIBAT0018" xr:uid="{00000000-0004-0000-0300-000007000000}"/>
    <hyperlink ref="A17" location="인터페이스정의서!A484" display="IFMIBAT0018" xr:uid="{00000000-0004-0000-0300-000008000000}"/>
    <hyperlink ref="A19" location="인터페이스정의서!A484" display="IFMIBAT0018" xr:uid="{00000000-0004-0000-0300-000009000000}"/>
    <hyperlink ref="A6" location="인터페이스정의서!A484" display="IFMIBAT0018" xr:uid="{00000000-0004-0000-0300-00000A000000}"/>
    <hyperlink ref="A8" location="인터페이스정의서!A484" display="IFMIBAT0018" xr:uid="{00000000-0004-0000-0300-00000B000000}"/>
    <hyperlink ref="A10" location="인터페이스정의서!A484" display="IFMIBAT0018" xr:uid="{00000000-0004-0000-0300-00000C000000}"/>
    <hyperlink ref="A12" location="인터페이스정의서!A484" display="IFMIBAT0018" xr:uid="{00000000-0004-0000-0300-00000D000000}"/>
    <hyperlink ref="A14" location="인터페이스정의서!A484" display="IFMIBAT0018" xr:uid="{00000000-0004-0000-0300-00000E000000}"/>
    <hyperlink ref="A16" location="인터페이스정의서!A484" display="IFMIBAT0018" xr:uid="{00000000-0004-0000-0300-00000F000000}"/>
    <hyperlink ref="A18" location="인터페이스정의서!A484" display="IFMIBAT0018" xr:uid="{00000000-0004-0000-0300-000010000000}"/>
    <hyperlink ref="A20" location="인터페이스정의서!A502" display="IFMIBAT0019" xr:uid="{00000000-0004-0000-0300-000011000000}"/>
    <hyperlink ref="A21" location="인터페이스정의서!A502" display="IFMIBAT0019" xr:uid="{00000000-0004-0000-0300-000012000000}"/>
    <hyperlink ref="A22" location="인터페이스정의서!A502" display="IFMIBAT0019" xr:uid="{00000000-0004-0000-0300-000013000000}"/>
    <hyperlink ref="A24" location="인터페이스정의서!A502" display="IFMIBAT0019" xr:uid="{00000000-0004-0000-0300-000014000000}"/>
    <hyperlink ref="A26" location="인터페이스정의서!A502" display="IFMIBAT0019" xr:uid="{00000000-0004-0000-0300-000015000000}"/>
    <hyperlink ref="A28" location="인터페이스정의서!A502" display="IFMIBAT0019" xr:uid="{00000000-0004-0000-0300-000016000000}"/>
    <hyperlink ref="A30" location="인터페이스정의서!A502" display="IFMIBAT0019" xr:uid="{00000000-0004-0000-0300-000017000000}"/>
    <hyperlink ref="A32" location="인터페이스정의서!A502" display="IFMIBAT0019" xr:uid="{00000000-0004-0000-0300-000018000000}"/>
    <hyperlink ref="A34" location="인터페이스정의서!A502" display="IFMIBAT0019" xr:uid="{00000000-0004-0000-0300-000019000000}"/>
    <hyperlink ref="A36" location="인터페이스정의서!A502" display="IFMIBAT0019" xr:uid="{00000000-0004-0000-0300-00001A000000}"/>
    <hyperlink ref="A23" location="인터페이스정의서!A502" display="IFMIBAT0019" xr:uid="{00000000-0004-0000-0300-00001B000000}"/>
    <hyperlink ref="A25" location="인터페이스정의서!A502" display="IFMIBAT0019" xr:uid="{00000000-0004-0000-0300-00001C000000}"/>
    <hyperlink ref="A27" location="인터페이스정의서!A502" display="IFMIBAT0019" xr:uid="{00000000-0004-0000-0300-00001D000000}"/>
    <hyperlink ref="A29" location="인터페이스정의서!A502" display="IFMIBAT0019" xr:uid="{00000000-0004-0000-0300-00001E000000}"/>
    <hyperlink ref="A31" location="인터페이스정의서!A502" display="IFMIBAT0019" xr:uid="{00000000-0004-0000-0300-00001F000000}"/>
    <hyperlink ref="A33" location="인터페이스정의서!A502" display="IFMIBAT0019" xr:uid="{00000000-0004-0000-0300-000020000000}"/>
    <hyperlink ref="A35" location="인터페이스정의서!A502" display="IFMIBAT0019" xr:uid="{00000000-0004-0000-0300-000021000000}"/>
    <hyperlink ref="A37" location="인터페이스정의서!A520" display="IFMIBAT0020" xr:uid="{00000000-0004-0000-0300-000022000000}"/>
    <hyperlink ref="A38" location="인터페이스정의서!A520" display="IFMIBAT0020" xr:uid="{00000000-0004-0000-0300-000023000000}"/>
    <hyperlink ref="A39" location="인터페이스정의서!A520" display="IFMIBAT0020" xr:uid="{00000000-0004-0000-0300-000024000000}"/>
    <hyperlink ref="A41" location="인터페이스정의서!A520" display="IFMIBAT0020" xr:uid="{00000000-0004-0000-0300-000025000000}"/>
    <hyperlink ref="A43" location="인터페이스정의서!A520" display="IFMIBAT0020" xr:uid="{00000000-0004-0000-0300-000026000000}"/>
    <hyperlink ref="A45" location="인터페이스정의서!A520" display="IFMIBAT0020" xr:uid="{00000000-0004-0000-0300-000027000000}"/>
    <hyperlink ref="A47" location="인터페이스정의서!A520" display="IFMIBAT0020" xr:uid="{00000000-0004-0000-0300-000028000000}"/>
    <hyperlink ref="A49" location="인터페이스정의서!A520" display="IFMIBAT0020" xr:uid="{00000000-0004-0000-0300-000029000000}"/>
    <hyperlink ref="A51" location="인터페이스정의서!A520" display="IFMIBAT0020" xr:uid="{00000000-0004-0000-0300-00002A000000}"/>
    <hyperlink ref="A53" location="인터페이스정의서!A520" display="IFMIBAT0020" xr:uid="{00000000-0004-0000-0300-00002B000000}"/>
    <hyperlink ref="A40" location="인터페이스정의서!A520" display="IFMIBAT0020" xr:uid="{00000000-0004-0000-0300-00002C000000}"/>
    <hyperlink ref="A42" location="인터페이스정의서!A520" display="IFMIBAT0020" xr:uid="{00000000-0004-0000-0300-00002D000000}"/>
    <hyperlink ref="A44" location="인터페이스정의서!A520" display="IFMIBAT0020" xr:uid="{00000000-0004-0000-0300-00002E000000}"/>
    <hyperlink ref="A46" location="인터페이스정의서!A520" display="IFMIBAT0020" xr:uid="{00000000-0004-0000-0300-00002F000000}"/>
    <hyperlink ref="A48" location="인터페이스정의서!A520" display="IFMIBAT0020" xr:uid="{00000000-0004-0000-0300-000030000000}"/>
    <hyperlink ref="A50" location="인터페이스정의서!A520" display="IFMIBAT0020" xr:uid="{00000000-0004-0000-0300-000031000000}"/>
    <hyperlink ref="A52" location="인터페이스정의서!A520" display="IFMIBAT0020" xr:uid="{00000000-0004-0000-0300-000032000000}"/>
    <hyperlink ref="A54" location="인터페이스정의서!A538" display="IFMIBAT0021" xr:uid="{00000000-0004-0000-0300-000033000000}"/>
    <hyperlink ref="A55" location="인터페이스정의서!A538" display="IFMIBAT0021" xr:uid="{00000000-0004-0000-0300-000034000000}"/>
    <hyperlink ref="A56" location="인터페이스정의서!A538" display="IFMIBAT0021" xr:uid="{00000000-0004-0000-0300-000035000000}"/>
    <hyperlink ref="A58" location="인터페이스정의서!A538" display="IFMIBAT0021" xr:uid="{00000000-0004-0000-0300-000036000000}"/>
    <hyperlink ref="A60" location="인터페이스정의서!A538" display="IFMIBAT0021" xr:uid="{00000000-0004-0000-0300-000037000000}"/>
    <hyperlink ref="A62" location="인터페이스정의서!A538" display="IFMIBAT0021" xr:uid="{00000000-0004-0000-0300-000038000000}"/>
    <hyperlink ref="A64" location="인터페이스정의서!A538" display="IFMIBAT0021" xr:uid="{00000000-0004-0000-0300-000039000000}"/>
    <hyperlink ref="A66" location="인터페이스정의서!A538" display="IFMIBAT0021" xr:uid="{00000000-0004-0000-0300-00003A000000}"/>
    <hyperlink ref="A68" location="인터페이스정의서!A538" display="IFMIBAT0021" xr:uid="{00000000-0004-0000-0300-00003B000000}"/>
    <hyperlink ref="A70" location="인터페이스정의서!A538" display="IFMIBAT0021" xr:uid="{00000000-0004-0000-0300-00003C000000}"/>
    <hyperlink ref="A57" location="인터페이스정의서!A538" display="IFMIBAT0021" xr:uid="{00000000-0004-0000-0300-00003D000000}"/>
    <hyperlink ref="A59" location="인터페이스정의서!A538" display="IFMIBAT0021" xr:uid="{00000000-0004-0000-0300-00003E000000}"/>
    <hyperlink ref="A61" location="인터페이스정의서!A538" display="IFMIBAT0021" xr:uid="{00000000-0004-0000-0300-00003F000000}"/>
    <hyperlink ref="A63" location="인터페이스정의서!A538" display="IFMIBAT0021" xr:uid="{00000000-0004-0000-0300-000040000000}"/>
    <hyperlink ref="A65" location="인터페이스정의서!A538" display="IFMIBAT0021" xr:uid="{00000000-0004-0000-0300-000041000000}"/>
    <hyperlink ref="A67" location="인터페이스정의서!A538" display="IFMIBAT0021" xr:uid="{00000000-0004-0000-0300-000042000000}"/>
    <hyperlink ref="A69" location="인터페이스정의서!A538" display="IFMIBAT0021" xr:uid="{00000000-0004-0000-0300-000043000000}"/>
    <hyperlink ref="A71" location="인터페이스정의서!A556" display="IFMIBAT0022" xr:uid="{00000000-0004-0000-0300-000044000000}"/>
    <hyperlink ref="A72" location="인터페이스정의서!A556" display="IFMIBAT0022" xr:uid="{00000000-0004-0000-0300-000045000000}"/>
    <hyperlink ref="A73" location="인터페이스정의서!A556" display="IFMIBAT0022" xr:uid="{00000000-0004-0000-0300-000046000000}"/>
    <hyperlink ref="A75" location="인터페이스정의서!A556" display="IFMIBAT0022" xr:uid="{00000000-0004-0000-0300-000047000000}"/>
    <hyperlink ref="A77" location="인터페이스정의서!A556" display="IFMIBAT0022" xr:uid="{00000000-0004-0000-0300-000048000000}"/>
    <hyperlink ref="A79" location="인터페이스정의서!A556" display="IFMIBAT0022" xr:uid="{00000000-0004-0000-0300-000049000000}"/>
    <hyperlink ref="A81" location="인터페이스정의서!A556" display="IFMIBAT0022" xr:uid="{00000000-0004-0000-0300-00004A000000}"/>
    <hyperlink ref="A83" location="인터페이스정의서!A556" display="IFMIBAT0022" xr:uid="{00000000-0004-0000-0300-00004B000000}"/>
    <hyperlink ref="A85" location="인터페이스정의서!A556" display="IFMIBAT0022" xr:uid="{00000000-0004-0000-0300-00004C000000}"/>
    <hyperlink ref="A87" location="인터페이스정의서!A556" display="IFMIBAT0022" xr:uid="{00000000-0004-0000-0300-00004D000000}"/>
    <hyperlink ref="A74" location="인터페이스정의서!A556" display="IFMIBAT0022" xr:uid="{00000000-0004-0000-0300-00004E000000}"/>
    <hyperlink ref="A76" location="인터페이스정의서!A556" display="IFMIBAT0022" xr:uid="{00000000-0004-0000-0300-00004F000000}"/>
    <hyperlink ref="A78" location="인터페이스정의서!A556" display="IFMIBAT0022" xr:uid="{00000000-0004-0000-0300-000050000000}"/>
    <hyperlink ref="A80" location="인터페이스정의서!A556" display="IFMIBAT0022" xr:uid="{00000000-0004-0000-0300-000051000000}"/>
    <hyperlink ref="A82" location="인터페이스정의서!A556" display="IFMIBAT0022" xr:uid="{00000000-0004-0000-0300-000052000000}"/>
    <hyperlink ref="A84" location="인터페이스정의서!A556" display="IFMIBAT0022" xr:uid="{00000000-0004-0000-0300-000053000000}"/>
    <hyperlink ref="A86" location="인터페이스정의서!A556" display="IFMIBAT0022" xr:uid="{00000000-0004-0000-0300-000054000000}"/>
    <hyperlink ref="A89" location="인터페이스정의서!A538" display="IFMIBAT0021" xr:uid="{00000000-0004-0000-0300-000055000000}"/>
    <hyperlink ref="A90" location="인터페이스정의서!A538" display="IFMIBAT0021" xr:uid="{00000000-0004-0000-0300-000056000000}"/>
    <hyperlink ref="A92" location="인터페이스정의서!A538" display="IFMIBAT0021" xr:uid="{00000000-0004-0000-0300-000057000000}"/>
    <hyperlink ref="A94" location="인터페이스정의서!A538" display="IFMIBAT0021" xr:uid="{00000000-0004-0000-0300-000058000000}"/>
    <hyperlink ref="A96" location="인터페이스정의서!A538" display="IFMIBAT0021" xr:uid="{00000000-0004-0000-0300-000059000000}"/>
    <hyperlink ref="A98" location="인터페이스정의서!A538" display="IFMIBAT0021" xr:uid="{00000000-0004-0000-0300-00005A000000}"/>
    <hyperlink ref="A100" location="인터페이스정의서!A538" display="IFMIBAT0021" xr:uid="{00000000-0004-0000-0300-00005B000000}"/>
    <hyperlink ref="A102" location="인터페이스정의서!A538" display="IFMIBAT0021" xr:uid="{00000000-0004-0000-0300-00005C000000}"/>
    <hyperlink ref="A104" location="인터페이스정의서!A538" display="IFMIBAT0021" xr:uid="{00000000-0004-0000-0300-00005D000000}"/>
    <hyperlink ref="A91" location="인터페이스정의서!A538" display="IFMIBAT0021" xr:uid="{00000000-0004-0000-0300-00005E000000}"/>
    <hyperlink ref="A93" location="인터페이스정의서!A538" display="IFMIBAT0021" xr:uid="{00000000-0004-0000-0300-00005F000000}"/>
    <hyperlink ref="A95" location="인터페이스정의서!A538" display="IFMIBAT0021" xr:uid="{00000000-0004-0000-0300-000060000000}"/>
    <hyperlink ref="A97" location="인터페이스정의서!A538" display="IFMIBAT0021" xr:uid="{00000000-0004-0000-0300-000061000000}"/>
    <hyperlink ref="A99" location="인터페이스정의서!A538" display="IFMIBAT0021" xr:uid="{00000000-0004-0000-0300-000062000000}"/>
    <hyperlink ref="A101" location="인터페이스정의서!A538" display="IFMIBAT0021" xr:uid="{00000000-0004-0000-0300-000063000000}"/>
    <hyperlink ref="A103" location="인터페이스정의서!A538" display="IFMIBAT0021" xr:uid="{00000000-0004-0000-0300-000064000000}"/>
    <hyperlink ref="A105" location="인터페이스정의서!A538" display="IFMIBAT0021" xr:uid="{00000000-0004-0000-0300-000065000000}"/>
    <hyperlink ref="A106" location="인터페이스정의서!A538" display="IFMIBAT0021" xr:uid="{00000000-0004-0000-0300-000066000000}"/>
    <hyperlink ref="A107" location="인터페이스정의서!A538" display="IFMIBAT0021" xr:uid="{00000000-0004-0000-0300-000067000000}"/>
    <hyperlink ref="A109" location="인터페이스정의서!A538" display="IFMIBAT0021" xr:uid="{00000000-0004-0000-0300-000068000000}"/>
    <hyperlink ref="A111" location="인터페이스정의서!A538" display="IFMIBAT0021" xr:uid="{00000000-0004-0000-0300-000069000000}"/>
    <hyperlink ref="A113" location="인터페이스정의서!A538" display="IFMIBAT0021" xr:uid="{00000000-0004-0000-0300-00006A000000}"/>
    <hyperlink ref="A115" location="인터페이스정의서!A538" display="IFMIBAT0021" xr:uid="{00000000-0004-0000-0300-00006B000000}"/>
    <hyperlink ref="A117" location="인터페이스정의서!A538" display="IFMIBAT0021" xr:uid="{00000000-0004-0000-0300-00006C000000}"/>
    <hyperlink ref="A119" location="인터페이스정의서!A538" display="IFMIBAT0021" xr:uid="{00000000-0004-0000-0300-00006D000000}"/>
    <hyperlink ref="A121" location="인터페이스정의서!A538" display="IFMIBAT0021" xr:uid="{00000000-0004-0000-0300-00006E000000}"/>
    <hyperlink ref="A108" location="인터페이스정의서!A538" display="IFMIBAT0021" xr:uid="{00000000-0004-0000-0300-00006F000000}"/>
    <hyperlink ref="A110" location="인터페이스정의서!A538" display="IFMIBAT0021" xr:uid="{00000000-0004-0000-0300-000070000000}"/>
    <hyperlink ref="A112" location="인터페이스정의서!A538" display="IFMIBAT0021" xr:uid="{00000000-0004-0000-0300-000071000000}"/>
    <hyperlink ref="A114" location="인터페이스정의서!A538" display="IFMIBAT0021" xr:uid="{00000000-0004-0000-0300-000072000000}"/>
    <hyperlink ref="A116" location="인터페이스정의서!A538" display="IFMIBAT0021" xr:uid="{00000000-0004-0000-0300-000073000000}"/>
    <hyperlink ref="A118" location="인터페이스정의서!A538" display="IFMIBAT0021" xr:uid="{00000000-0004-0000-0300-000074000000}"/>
    <hyperlink ref="A120" location="인터페이스정의서!A538" display="IFMIBAT0021" xr:uid="{00000000-0004-0000-0300-000075000000}"/>
    <hyperlink ref="A122" location="인터페이스정의서!A556" display="IFMIBAT0022" xr:uid="{00000000-0004-0000-0300-000076000000}"/>
    <hyperlink ref="A123" location="인터페이스정의서!A556" display="IFMIBAT0022" xr:uid="{00000000-0004-0000-0300-000077000000}"/>
    <hyperlink ref="A124" location="인터페이스정의서!A556" display="IFMIBAT0022" xr:uid="{00000000-0004-0000-0300-000078000000}"/>
    <hyperlink ref="A126" location="인터페이스정의서!A556" display="IFMIBAT0022" xr:uid="{00000000-0004-0000-0300-000079000000}"/>
    <hyperlink ref="A128" location="인터페이스정의서!A556" display="IFMIBAT0022" xr:uid="{00000000-0004-0000-0300-00007A000000}"/>
    <hyperlink ref="A130" location="인터페이스정의서!A556" display="IFMIBAT0022" xr:uid="{00000000-0004-0000-0300-00007B000000}"/>
    <hyperlink ref="A132" location="인터페이스정의서!A556" display="IFMIBAT0022" xr:uid="{00000000-0004-0000-0300-00007C000000}"/>
    <hyperlink ref="A134" location="인터페이스정의서!A556" display="IFMIBAT0022" xr:uid="{00000000-0004-0000-0300-00007D000000}"/>
    <hyperlink ref="A136" location="인터페이스정의서!A556" display="IFMIBAT0022" xr:uid="{00000000-0004-0000-0300-00007E000000}"/>
    <hyperlink ref="A138" location="인터페이스정의서!A556" display="IFMIBAT0022" xr:uid="{00000000-0004-0000-0300-00007F000000}"/>
    <hyperlink ref="A125" location="인터페이스정의서!A556" display="IFMIBAT0022" xr:uid="{00000000-0004-0000-0300-000080000000}"/>
    <hyperlink ref="A127" location="인터페이스정의서!A556" display="IFMIBAT0022" xr:uid="{00000000-0004-0000-0300-000081000000}"/>
    <hyperlink ref="A129" location="인터페이스정의서!A556" display="IFMIBAT0022" xr:uid="{00000000-0004-0000-0300-000082000000}"/>
    <hyperlink ref="A131" location="인터페이스정의서!A556" display="IFMIBAT0022" xr:uid="{00000000-0004-0000-0300-000083000000}"/>
    <hyperlink ref="A133" location="인터페이스정의서!A556" display="IFMIBAT0022" xr:uid="{00000000-0004-0000-0300-000084000000}"/>
    <hyperlink ref="A135" location="인터페이스정의서!A556" display="IFMIBAT0022" xr:uid="{00000000-0004-0000-0300-000085000000}"/>
    <hyperlink ref="A137" location="인터페이스정의서!A556" display="IFMIBAT0022" xr:uid="{00000000-0004-0000-0300-000086000000}"/>
    <hyperlink ref="A139" location="인터페이스정의서!A538" display="IFMIBAT0021" xr:uid="{00000000-0004-0000-0300-000087000000}"/>
    <hyperlink ref="A140" location="인터페이스정의서!A538" display="IFMIBAT0021" xr:uid="{00000000-0004-0000-0300-000088000000}"/>
    <hyperlink ref="A141" location="인터페이스정의서!A538" display="IFMIBAT0021" xr:uid="{00000000-0004-0000-0300-000089000000}"/>
    <hyperlink ref="A143" location="인터페이스정의서!A538" display="IFMIBAT0021" xr:uid="{00000000-0004-0000-0300-00008A000000}"/>
    <hyperlink ref="A145" location="인터페이스정의서!A538" display="IFMIBAT0021" xr:uid="{00000000-0004-0000-0300-00008B000000}"/>
    <hyperlink ref="A147" location="인터페이스정의서!A538" display="IFMIBAT0021" xr:uid="{00000000-0004-0000-0300-00008C000000}"/>
    <hyperlink ref="A149" location="인터페이스정의서!A538" display="IFMIBAT0021" xr:uid="{00000000-0004-0000-0300-00008D000000}"/>
    <hyperlink ref="A151" location="인터페이스정의서!A538" display="IFMIBAT0021" xr:uid="{00000000-0004-0000-0300-00008E000000}"/>
    <hyperlink ref="A153" location="인터페이스정의서!A538" display="IFMIBAT0021" xr:uid="{00000000-0004-0000-0300-00008F000000}"/>
    <hyperlink ref="A155" location="인터페이스정의서!A538" display="IFMIBAT0021" xr:uid="{00000000-0004-0000-0300-000090000000}"/>
    <hyperlink ref="A142" location="인터페이스정의서!A538" display="IFMIBAT0021" xr:uid="{00000000-0004-0000-0300-000091000000}"/>
    <hyperlink ref="A144" location="인터페이스정의서!A538" display="IFMIBAT0021" xr:uid="{00000000-0004-0000-0300-000092000000}"/>
    <hyperlink ref="A146" location="인터페이스정의서!A538" display="IFMIBAT0021" xr:uid="{00000000-0004-0000-0300-000093000000}"/>
    <hyperlink ref="A148" location="인터페이스정의서!A538" display="IFMIBAT0021" xr:uid="{00000000-0004-0000-0300-000094000000}"/>
    <hyperlink ref="A150" location="인터페이스정의서!A538" display="IFMIBAT0021" xr:uid="{00000000-0004-0000-0300-000095000000}"/>
    <hyperlink ref="A152" location="인터페이스정의서!A538" display="IFMIBAT0021" xr:uid="{00000000-0004-0000-0300-000096000000}"/>
    <hyperlink ref="A154" location="인터페이스정의서!A538" display="IFMIBAT0021" xr:uid="{00000000-0004-0000-0300-000097000000}"/>
    <hyperlink ref="A156" location="인터페이스정의서!A538" display="IFMIBAT0021" xr:uid="{00000000-0004-0000-0300-000098000000}"/>
    <hyperlink ref="A157" location="인터페이스정의서!A538" display="IFMIBAT0021" xr:uid="{00000000-0004-0000-0300-000099000000}"/>
    <hyperlink ref="A158" location="인터페이스정의서!A538" display="IFMIBAT0021" xr:uid="{00000000-0004-0000-0300-00009A000000}"/>
    <hyperlink ref="A160" location="인터페이스정의서!A538" display="IFMIBAT0021" xr:uid="{00000000-0004-0000-0300-00009B000000}"/>
    <hyperlink ref="A162" location="인터페이스정의서!A538" display="IFMIBAT0021" xr:uid="{00000000-0004-0000-0300-00009C000000}"/>
    <hyperlink ref="A164" location="인터페이스정의서!A538" display="IFMIBAT0021" xr:uid="{00000000-0004-0000-0300-00009D000000}"/>
    <hyperlink ref="A166" location="인터페이스정의서!A538" display="IFMIBAT0021" xr:uid="{00000000-0004-0000-0300-00009E000000}"/>
    <hyperlink ref="A168" location="인터페이스정의서!A538" display="IFMIBAT0021" xr:uid="{00000000-0004-0000-0300-00009F000000}"/>
    <hyperlink ref="A170" location="인터페이스정의서!A538" display="IFMIBAT0021" xr:uid="{00000000-0004-0000-0300-0000A0000000}"/>
    <hyperlink ref="A172" location="인터페이스정의서!A538" display="IFMIBAT0021" xr:uid="{00000000-0004-0000-0300-0000A1000000}"/>
    <hyperlink ref="A159" location="인터페이스정의서!A538" display="IFMIBAT0021" xr:uid="{00000000-0004-0000-0300-0000A2000000}"/>
    <hyperlink ref="A161" location="인터페이스정의서!A538" display="IFMIBAT0021" xr:uid="{00000000-0004-0000-0300-0000A3000000}"/>
    <hyperlink ref="A163" location="인터페이스정의서!A538" display="IFMIBAT0021" xr:uid="{00000000-0004-0000-0300-0000A4000000}"/>
    <hyperlink ref="A165" location="인터페이스정의서!A538" display="IFMIBAT0021" xr:uid="{00000000-0004-0000-0300-0000A5000000}"/>
    <hyperlink ref="A167" location="인터페이스정의서!A538" display="IFMIBAT0021" xr:uid="{00000000-0004-0000-0300-0000A6000000}"/>
    <hyperlink ref="A169" location="인터페이스정의서!A538" display="IFMIBAT0021" xr:uid="{00000000-0004-0000-0300-0000A7000000}"/>
    <hyperlink ref="A171" location="인터페이스정의서!A538" display="IFMIBAT0021" xr:uid="{00000000-0004-0000-0300-0000A8000000}"/>
    <hyperlink ref="A174" location="인터페이스정의서!A538" display="IFMIBAT0021" xr:uid="{00000000-0004-0000-0300-0000A9000000}"/>
    <hyperlink ref="A173" location="인터페이스정의서!A538" display="IFMIBAT0021" xr:uid="{00000000-0004-0000-0300-0000AA000000}"/>
    <hyperlink ref="A176" location="인터페이스정의서!A538" display="IFMIBAT0021" xr:uid="{00000000-0004-0000-0300-0000AB000000}"/>
    <hyperlink ref="A178" location="인터페이스정의서!A538" display="IFMIBAT0021" xr:uid="{00000000-0004-0000-0300-0000AC000000}"/>
    <hyperlink ref="A180" location="인터페이스정의서!A538" display="IFMIBAT0021" xr:uid="{00000000-0004-0000-0300-0000AD000000}"/>
    <hyperlink ref="A182" location="인터페이스정의서!A538" display="IFMIBAT0021" xr:uid="{00000000-0004-0000-0300-0000AE000000}"/>
    <hyperlink ref="A184" location="인터페이스정의서!A538" display="IFMIBAT0021" xr:uid="{00000000-0004-0000-0300-0000AF000000}"/>
    <hyperlink ref="A186" location="인터페이스정의서!A538" display="IFMIBAT0021" xr:uid="{00000000-0004-0000-0300-0000B0000000}"/>
    <hyperlink ref="A188" location="인터페이스정의서!A538" display="IFMIBAT0021" xr:uid="{00000000-0004-0000-0300-0000B1000000}"/>
    <hyperlink ref="A175" location="인터페이스정의서!A538" display="IFMIBAT0021" xr:uid="{00000000-0004-0000-0300-0000B2000000}"/>
    <hyperlink ref="A177" location="인터페이스정의서!A538" display="IFMIBAT0021" xr:uid="{00000000-0004-0000-0300-0000B3000000}"/>
    <hyperlink ref="A179" location="인터페이스정의서!A538" display="IFMIBAT0021" xr:uid="{00000000-0004-0000-0300-0000B4000000}"/>
    <hyperlink ref="A181" location="인터페이스정의서!A538" display="IFMIBAT0021" xr:uid="{00000000-0004-0000-0300-0000B5000000}"/>
    <hyperlink ref="A183" location="인터페이스정의서!A538" display="IFMIBAT0021" xr:uid="{00000000-0004-0000-0300-0000B6000000}"/>
    <hyperlink ref="A185" location="인터페이스정의서!A538" display="IFMIBAT0021" xr:uid="{00000000-0004-0000-0300-0000B7000000}"/>
    <hyperlink ref="A187" location="인터페이스정의서!A538" display="IFMIBAT0021" xr:uid="{00000000-0004-0000-0300-0000B8000000}"/>
    <hyperlink ref="A189" location="인터페이스정의서!A538" display="IFMIBAT0021" xr:uid="{00000000-0004-0000-0300-0000B9000000}"/>
    <hyperlink ref="A190" location="인터페이스정의서!A556" display="IFMIBAT0022" xr:uid="{00000000-0004-0000-0300-0000BA000000}"/>
    <hyperlink ref="A191" location="인터페이스정의서!A556" display="IFMIBAT0022" xr:uid="{00000000-0004-0000-0300-0000BB000000}"/>
    <hyperlink ref="A192" location="인터페이스정의서!A556" display="IFMIBAT0022" xr:uid="{00000000-0004-0000-0300-0000BC000000}"/>
    <hyperlink ref="A194" location="인터페이스정의서!A556" display="IFMIBAT0022" xr:uid="{00000000-0004-0000-0300-0000BD000000}"/>
    <hyperlink ref="A196" location="인터페이스정의서!A556" display="IFMIBAT0022" xr:uid="{00000000-0004-0000-0300-0000BE000000}"/>
    <hyperlink ref="A198" location="인터페이스정의서!A556" display="IFMIBAT0022" xr:uid="{00000000-0004-0000-0300-0000BF000000}"/>
    <hyperlink ref="A200" location="인터페이스정의서!A556" display="IFMIBAT0022" xr:uid="{00000000-0004-0000-0300-0000C0000000}"/>
    <hyperlink ref="A202" location="인터페이스정의서!A556" display="IFMIBAT0022" xr:uid="{00000000-0004-0000-0300-0000C1000000}"/>
    <hyperlink ref="A204" location="인터페이스정의서!A556" display="IFMIBAT0022" xr:uid="{00000000-0004-0000-0300-0000C2000000}"/>
    <hyperlink ref="A206" location="인터페이스정의서!A556" display="IFMIBAT0022" xr:uid="{00000000-0004-0000-0300-0000C3000000}"/>
    <hyperlink ref="A193" location="인터페이스정의서!A556" display="IFMIBAT0022" xr:uid="{00000000-0004-0000-0300-0000C4000000}"/>
    <hyperlink ref="A195" location="인터페이스정의서!A556" display="IFMIBAT0022" xr:uid="{00000000-0004-0000-0300-0000C5000000}"/>
    <hyperlink ref="A197" location="인터페이스정의서!A556" display="IFMIBAT0022" xr:uid="{00000000-0004-0000-0300-0000C6000000}"/>
    <hyperlink ref="A199" location="인터페이스정의서!A556" display="IFMIBAT0022" xr:uid="{00000000-0004-0000-0300-0000C7000000}"/>
    <hyperlink ref="A201" location="인터페이스정의서!A556" display="IFMIBAT0022" xr:uid="{00000000-0004-0000-0300-0000C8000000}"/>
    <hyperlink ref="A203" location="인터페이스정의서!A556" display="IFMIBAT0022" xr:uid="{00000000-0004-0000-0300-0000C9000000}"/>
    <hyperlink ref="A205" location="인터페이스정의서!A556" display="IFMIBAT0022" xr:uid="{00000000-0004-0000-0300-0000CA000000}"/>
    <hyperlink ref="A207" location="인터페이스정의서!A538" display="IFMIBAT0021" xr:uid="{00000000-0004-0000-0300-0000CB000000}"/>
    <hyperlink ref="A208" location="인터페이스정의서!A538" display="IFMIBAT0021" xr:uid="{00000000-0004-0000-0300-0000CC000000}"/>
    <hyperlink ref="A209" location="인터페이스정의서!A538" display="IFMIBAT0021" xr:uid="{00000000-0004-0000-0300-0000CD000000}"/>
    <hyperlink ref="A211" location="인터페이스정의서!A538" display="IFMIBAT0021" xr:uid="{00000000-0004-0000-0300-0000CE000000}"/>
    <hyperlink ref="A213" location="인터페이스정의서!A538" display="IFMIBAT0021" xr:uid="{00000000-0004-0000-0300-0000CF000000}"/>
    <hyperlink ref="A210" location="인터페이스정의서!A538" display="IFMIBAT0021" xr:uid="{00000000-0004-0000-0300-0000D0000000}"/>
    <hyperlink ref="A212" location="인터페이스정의서!A538" display="IFMIBAT0021" xr:uid="{00000000-0004-0000-0300-0000D1000000}"/>
    <hyperlink ref="A214" location="인터페이스정의서!A538" display="IFMIBAT0021" xr:uid="{00000000-0004-0000-0300-0000D2000000}"/>
    <hyperlink ref="A215" location="인터페이스정의서!A538" display="IFMIBAT0021" xr:uid="{00000000-0004-0000-0300-0000D3000000}"/>
    <hyperlink ref="A216" location="인터페이스정의서!A538" display="IFMIBAT0021" xr:uid="{00000000-0004-0000-0300-0000D4000000}"/>
    <hyperlink ref="A218" location="인터페이스정의서!A538" display="IFMIBAT0021" xr:uid="{00000000-0004-0000-0300-0000D5000000}"/>
    <hyperlink ref="A220" location="인터페이스정의서!A538" display="IFMIBAT0021" xr:uid="{00000000-0004-0000-0300-0000D6000000}"/>
    <hyperlink ref="A217" location="인터페이스정의서!A538" display="IFMIBAT0021" xr:uid="{00000000-0004-0000-0300-0000D7000000}"/>
    <hyperlink ref="A219" location="인터페이스정의서!A538" display="IFMIBAT0021" xr:uid="{00000000-0004-0000-0300-0000D8000000}"/>
    <hyperlink ref="A221" location="인터페이스정의서!A556" display="IFMIBAT0022" xr:uid="{00000000-0004-0000-0300-0000D9000000}"/>
    <hyperlink ref="A222" location="인터페이스정의서!A556" display="IFMIBAT0022" xr:uid="{00000000-0004-0000-0300-0000DA000000}"/>
    <hyperlink ref="A223" location="인터페이스정의서!A556" display="IFMIBAT0022" xr:uid="{00000000-0004-0000-0300-0000DB000000}"/>
    <hyperlink ref="A225" location="인터페이스정의서!A556" display="IFMIBAT0022" xr:uid="{00000000-0004-0000-0300-0000DC000000}"/>
    <hyperlink ref="A227" location="인터페이스정의서!A556" display="IFMIBAT0022" xr:uid="{00000000-0004-0000-0300-0000DD000000}"/>
    <hyperlink ref="A224" location="인터페이스정의서!A556" display="IFMIBAT0022" xr:uid="{00000000-0004-0000-0300-0000DE000000}"/>
    <hyperlink ref="A226" location="인터페이스정의서!A556" display="IFMIBAT0022" xr:uid="{00000000-0004-0000-0300-0000DF000000}"/>
    <hyperlink ref="A228" location="인터페이스정의서!A538" display="IFMIBAT0021" xr:uid="{00000000-0004-0000-0300-0000E0000000}"/>
    <hyperlink ref="A229" location="인터페이스정의서!A538" display="IFMIBAT0021" xr:uid="{00000000-0004-0000-0300-0000E1000000}"/>
    <hyperlink ref="A230" location="인터페이스정의서!A538" display="IFMIBAT0021" xr:uid="{00000000-0004-0000-0300-0000E2000000}"/>
    <hyperlink ref="A232" location="인터페이스정의서!A538" display="IFMIBAT0021" xr:uid="{00000000-0004-0000-0300-0000E3000000}"/>
    <hyperlink ref="A234" location="인터페이스정의서!A538" display="IFMIBAT0021" xr:uid="{00000000-0004-0000-0300-0000E4000000}"/>
    <hyperlink ref="A231" location="인터페이스정의서!A538" display="IFMIBAT0021" xr:uid="{00000000-0004-0000-0300-0000E5000000}"/>
    <hyperlink ref="A233" location="인터페이스정의서!A538" display="IFMIBAT0021" xr:uid="{00000000-0004-0000-0300-0000E6000000}"/>
    <hyperlink ref="A235" location="인터페이스정의서!A538" display="IFMIBAT0021" xr:uid="{00000000-0004-0000-0300-0000E7000000}"/>
    <hyperlink ref="A236" location="인터페이스정의서!A538" display="IFMIBAT0021" xr:uid="{00000000-0004-0000-0300-0000E8000000}"/>
    <hyperlink ref="A237" location="인터페이스정의서!A538" display="IFMIBAT0021" xr:uid="{00000000-0004-0000-0300-0000E9000000}"/>
    <hyperlink ref="A239" location="인터페이스정의서!A538" display="IFMIBAT0021" xr:uid="{00000000-0004-0000-0300-0000EA000000}"/>
    <hyperlink ref="A241" location="인터페이스정의서!A538" display="IFMIBAT0021" xr:uid="{00000000-0004-0000-0300-0000EB000000}"/>
    <hyperlink ref="A238" location="인터페이스정의서!A538" display="IFMIBAT0021" xr:uid="{00000000-0004-0000-0300-0000EC000000}"/>
    <hyperlink ref="A240" location="인터페이스정의서!A538" display="IFMIBAT0021" xr:uid="{00000000-0004-0000-0300-0000ED000000}"/>
    <hyperlink ref="A242" location="인터페이스정의서!A556" display="IFMIBAT0022" xr:uid="{00000000-0004-0000-0300-0000EE000000}"/>
    <hyperlink ref="A243" location="인터페이스정의서!A556" display="IFMIBAT0022" xr:uid="{00000000-0004-0000-0300-0000EF000000}"/>
    <hyperlink ref="A244" location="인터페이스정의서!A556" display="IFMIBAT0022" xr:uid="{00000000-0004-0000-0300-0000F0000000}"/>
    <hyperlink ref="A246" location="인터페이스정의서!A556" display="IFMIBAT0022" xr:uid="{00000000-0004-0000-0300-0000F1000000}"/>
    <hyperlink ref="A248" location="인터페이스정의서!A556" display="IFMIBAT0022" xr:uid="{00000000-0004-0000-0300-0000F2000000}"/>
    <hyperlink ref="A245" location="인터페이스정의서!A556" display="IFMIBAT0022" xr:uid="{00000000-0004-0000-0300-0000F3000000}"/>
    <hyperlink ref="A247" location="인터페이스정의서!A556" display="IFMIBAT0022" xr:uid="{00000000-0004-0000-0300-0000F4000000}"/>
    <hyperlink ref="A283" location="인터페이스정의서!A538" display="IFMIBAT0021" xr:uid="{00000000-0004-0000-0300-0000F5000000}"/>
    <hyperlink ref="A284" location="인터페이스정의서!A538" display="IFMIBAT0021" xr:uid="{00000000-0004-0000-0300-0000F6000000}"/>
    <hyperlink ref="A319" location="인터페이스정의서!A538" display="IFMIBAT0021" xr:uid="{00000000-0004-0000-0300-0000F7000000}"/>
    <hyperlink ref="A320" location="인터페이스정의서!A538" display="IFMIBAT0021" xr:uid="{00000000-0004-0000-0300-0000F8000000}"/>
    <hyperlink ref="A321" location="인터페이스정의서!A538" display="IFMIBAT0021" xr:uid="{00000000-0004-0000-0300-0000F9000000}"/>
    <hyperlink ref="A323" location="인터페이스정의서!A538" display="IFMIBAT0021" xr:uid="{00000000-0004-0000-0300-0000FA000000}"/>
    <hyperlink ref="A325" location="인터페이스정의서!A538" display="IFMIBAT0021" xr:uid="{00000000-0004-0000-0300-0000FB000000}"/>
    <hyperlink ref="A322" location="인터페이스정의서!A538" display="IFMIBAT0021" xr:uid="{00000000-0004-0000-0300-0000FC000000}"/>
    <hyperlink ref="A324" location="인터페이스정의서!A538" display="IFMIBAT0021" xr:uid="{00000000-0004-0000-0300-0000FD000000}"/>
    <hyperlink ref="A326" location="인터페이스정의서!A556" display="IFMIBAT0022" xr:uid="{00000000-0004-0000-0300-0000FE000000}"/>
    <hyperlink ref="A327" location="인터페이스정의서!A556" display="IFMIBAT0022" xr:uid="{00000000-0004-0000-0300-0000FF000000}"/>
    <hyperlink ref="A328" location="인터페이스정의서!A556" display="IFMIBAT0022" xr:uid="{00000000-0004-0000-0300-000000010000}"/>
    <hyperlink ref="A330" location="인터페이스정의서!A556" display="IFMIBAT0022" xr:uid="{00000000-0004-0000-0300-000001010000}"/>
    <hyperlink ref="A332" location="인터페이스정의서!A556" display="IFMIBAT0022" xr:uid="{00000000-0004-0000-0300-000002010000}"/>
    <hyperlink ref="A329" location="인터페이스정의서!A556" display="IFMIBAT0022" xr:uid="{00000000-0004-0000-0300-000003010000}"/>
    <hyperlink ref="A331" location="인터페이스정의서!A556" display="IFMIBAT0022" xr:uid="{00000000-0004-0000-0300-000004010000}"/>
    <hyperlink ref="A333" location="인터페이스정의서!A556" display="IFMIBAT0022" xr:uid="{00000000-0004-0000-0300-000005010000}"/>
    <hyperlink ref="A334" location="인터페이스정의서!A538" display="IFMIBAT0021" xr:uid="{00000000-0004-0000-0300-000006010000}"/>
    <hyperlink ref="A335" location="인터페이스정의서!A538" display="IFMIBAT0021" xr:uid="{00000000-0004-0000-0300-000007010000}"/>
    <hyperlink ref="A336" location="인터페이스정의서!A538" display="IFMIBAT0021" xr:uid="{00000000-0004-0000-0300-000008010000}"/>
    <hyperlink ref="A338" location="인터페이스정의서!A538" display="IFMIBAT0021" xr:uid="{00000000-0004-0000-0300-000009010000}"/>
    <hyperlink ref="A340" location="인터페이스정의서!A538" display="IFMIBAT0021" xr:uid="{00000000-0004-0000-0300-00000A010000}"/>
    <hyperlink ref="A337" location="인터페이스정의서!A538" display="IFMIBAT0021" xr:uid="{00000000-0004-0000-0300-00000B010000}"/>
    <hyperlink ref="A339" location="인터페이스정의서!A538" display="IFMIBAT0021" xr:uid="{00000000-0004-0000-0300-00000C010000}"/>
    <hyperlink ref="A341" location="인터페이스정의서!A538" display="IFMIBAT0021" xr:uid="{00000000-0004-0000-0300-00000D010000}"/>
    <hyperlink ref="A343" location="인터페이스정의서!A538" display="IFMIBAT0021" xr:uid="{00000000-0004-0000-0300-00000E010000}"/>
    <hyperlink ref="A342" location="인터페이스정의서!A538" display="IFMIBAT0021" xr:uid="{00000000-0004-0000-0300-00000F010000}"/>
    <hyperlink ref="A345" location="인터페이스정의서!A538" display="IFMIBAT0021" xr:uid="{00000000-0004-0000-0300-000010010000}"/>
    <hyperlink ref="A347" location="인터페이스정의서!A538" display="IFMIBAT0021" xr:uid="{00000000-0004-0000-0300-000011010000}"/>
    <hyperlink ref="A349" location="인터페이스정의서!A538" display="IFMIBAT0021" xr:uid="{00000000-0004-0000-0300-000012010000}"/>
    <hyperlink ref="A344" location="인터페이스정의서!A538" display="IFMIBAT0021" xr:uid="{00000000-0004-0000-0300-000013010000}"/>
    <hyperlink ref="A346" location="인터페이스정의서!A538" display="IFMIBAT0021" xr:uid="{00000000-0004-0000-0300-000014010000}"/>
    <hyperlink ref="A348" location="인터페이스정의서!A538" display="IFMIBAT0021" xr:uid="{00000000-0004-0000-0300-000015010000}"/>
    <hyperlink ref="A317:A331" location="인터페이스정의서!A538" display="IFMIBAT0021" xr:uid="{00000000-0004-0000-0300-000016010000}"/>
    <hyperlink ref="A300" location="인터페이스정의서!A556" display="IFMIBAT0022" xr:uid="{00000000-0004-0000-0300-000017010000}"/>
    <hyperlink ref="A285" location="인터페이스정의서!A556" display="IFMIBAT0022" xr:uid="{00000000-0004-0000-0300-000018010000}"/>
    <hyperlink ref="A251:A264" location="인터페이스정의서!A556" display="IFMIBAT0022" xr:uid="{00000000-0004-0000-0300-000019010000}"/>
    <hyperlink ref="A266:A283" location="인터페이스정의서!A556" display="IFMIBAT0022" xr:uid="{00000000-0004-0000-0300-00001A010000}"/>
    <hyperlink ref="A365" location="인터페이스정의서!A538" display="IFMIBAT0021" xr:uid="{00000000-0004-0000-0300-00001B010000}"/>
    <hyperlink ref="A382" location="인터페이스정의서!A538" display="IFMIBAT0021" xr:uid="{00000000-0004-0000-0300-00001C010000}"/>
    <hyperlink ref="A350:A369" location="인터페이스정의서!A538" display="IFMIBAT0021" xr:uid="{00000000-0004-0000-0300-00001D010000}"/>
    <hyperlink ref="A398" location="인터페이스정의서!A538" display="IFMIBAT0021" xr:uid="{00000000-0004-0000-0300-00001E010000}"/>
    <hyperlink ref="A381" location="인터페이스정의서!A538" display="IFMIBAT0021" xr:uid="{00000000-0004-0000-0300-00001F010000}"/>
    <hyperlink ref="A386" location="인터페이스정의서!A538" display="IFMIBAT0021" xr:uid="{00000000-0004-0000-0300-000020010000}"/>
    <hyperlink ref="A399" location="인터페이스정의서!A538" display="IFMIBAT0021" xr:uid="{00000000-0004-0000-0300-000021010000}"/>
  </hyperlinks>
  <pageMargins left="0.70866141732283472" right="0.70866141732283472" top="0.74803149606299213" bottom="0.74803149606299213" header="0.31496062992125984" footer="0.31496062992125984"/>
  <pageSetup paperSize="9" scale="65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235698B6BB1A224FB7B03603477446CA" ma:contentTypeVersion="15" ma:contentTypeDescription="새 문서를 만듭니다." ma:contentTypeScope="" ma:versionID="251e5b3a0d63a8af06e1db55a8f1a236">
  <xsd:schema xmlns:xsd="http://www.w3.org/2001/XMLSchema" xmlns:xs="http://www.w3.org/2001/XMLSchema" xmlns:p="http://schemas.microsoft.com/office/2006/metadata/properties" xmlns:ns2="c22d8ade-73de-402e-84f6-08aa8f7013fe" xmlns:ns3="e729a085-5cb7-4815-875f-5f07bdd52a85" targetNamespace="http://schemas.microsoft.com/office/2006/metadata/properties" ma:root="true" ma:fieldsID="b50cd4d32695a672874a41e54a275e29" ns2:_="" ns3:_="">
    <xsd:import namespace="c22d8ade-73de-402e-84f6-08aa8f7013fe"/>
    <xsd:import namespace="e729a085-5cb7-4815-875f-5f07bdd52a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2d8ade-73de-402e-84f6-08aa8f7013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이미지 태그" ma:readOnly="false" ma:fieldId="{5cf76f15-5ced-4ddc-b409-7134ff3c332f}" ma:taxonomyMulti="true" ma:sspId="f4e2f548-455d-435a-be74-9db44d0200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29a085-5cb7-4815-875f-5f07bdd52a85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ebe1a5fc-ccc0-4009-a57a-cf0116ac9f97}" ma:internalName="TaxCatchAll" ma:showField="CatchAllData" ma:web="e729a085-5cb7-4815-875f-5f07bdd52a8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729a085-5cb7-4815-875f-5f07bdd52a85" xsi:nil="true"/>
    <lcf76f155ced4ddcb4097134ff3c332f xmlns="c22d8ade-73de-402e-84f6-08aa8f7013f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301B55C-71BC-4EC7-BBFC-CF5DEA6D7F2D}"/>
</file>

<file path=customXml/itemProps2.xml><?xml version="1.0" encoding="utf-8"?>
<ds:datastoreItem xmlns:ds="http://schemas.openxmlformats.org/officeDocument/2006/customXml" ds:itemID="{7AD06676-7820-4B02-A7CC-A9477EA11E7B}"/>
</file>

<file path=customXml/itemProps3.xml><?xml version="1.0" encoding="utf-8"?>
<ds:datastoreItem xmlns:ds="http://schemas.openxmlformats.org/officeDocument/2006/customXml" ds:itemID="{7C5C0F02-8502-40B7-AEB8-A3C2C18C043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Daseul Kang</cp:lastModifiedBy>
  <cp:revision/>
  <dcterms:created xsi:type="dcterms:W3CDTF">2021-07-15T11:22:06Z</dcterms:created>
  <dcterms:modified xsi:type="dcterms:W3CDTF">2024-01-24T05:23:43Z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0x010100235698B6BB1A224FB7B03603477446CA</vt:lpwstr>
  </property>
  <property fmtid="{D5CDD505-2E9C-101B-9397-08002B2CF9AE}" pid="3" name="MediaServiceImageTags">
    <vt:lpwstr/>
  </property>
</Properties>
</file>